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812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haust with Baffle Filters" sheetId="2" state="visible" r:id="rId2"/>
    <sheet xmlns:r="http://schemas.openxmlformats.org/officeDocument/2006/relationships" name="PSP Supply" sheetId="3" state="visible" r:id="rId3"/>
    <sheet xmlns:r="http://schemas.openxmlformats.org/officeDocument/2006/relationships" name="Supply Fan Filters" sheetId="4" state="visible" r:id="rId4"/>
    <sheet xmlns:r="http://schemas.openxmlformats.org/officeDocument/2006/relationships" name="HVC or Slot Filters" sheetId="5" state="visible" r:id="rId5"/>
    <sheet xmlns:r="http://schemas.openxmlformats.org/officeDocument/2006/relationships" name="Condensate Baffle Filters" sheetId="6" state="visible" r:id="rId6"/>
    <sheet xmlns:r="http://schemas.openxmlformats.org/officeDocument/2006/relationships" name="Direct Fired Profile Pres. CFM" sheetId="7" state="visible" r:id="rId7"/>
    <sheet xmlns:r="http://schemas.openxmlformats.org/officeDocument/2006/relationships" name="Building Pressures" sheetId="8" state="visible" r:id="rId8"/>
  </sheets>
  <externalReferences>
    <externalReference xmlns:r="http://schemas.openxmlformats.org/officeDocument/2006/relationships" r:id="rId9"/>
  </externalReferences>
  <definedNames>
    <definedName name="ONE">'[1]Contact Information'!$C$16,'[1]Contact Information'!$C$16,'[1]Contact Information'!$B$18,'[1]Contact Information'!$B$19,'[1]Contact Information'!$F$19,'[1]Contact Information'!$H$19,'[1]Contact Information'!$B$22,'[1]Contact Information'!$B$23,'[1]Contact Information'!$B$27,'[1]Contact Information'!$B$28,'[1]Contact Information'!#REF!,'[1]Contact Information'!#REF!,'[1]Contact Information'!#REF!,'[1]Contact Information'!#REF!,'[1]Contact Information'!$B$33,'[1]Contact Information'!$B$34,'[1]Contact Information'!$B$35,'[1]Contact Information'!$B$37,'[1]Contact Information'!$C$49,'[1]Contact Information'!$D$50,'[1]Contact Information'!$C$14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ft&quot;"/>
    <numFmt numFmtId="165" formatCode="0&quot;in&quot;"/>
  </numFmts>
  <fonts count="13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i val="1"/>
      <sz val="14"/>
      <u val="single"/>
    </font>
    <font>
      <name val="Arial"/>
      <family val="2"/>
      <b val="1"/>
      <color indexed="12"/>
      <sz val="10"/>
    </font>
    <font>
      <name val="Arial"/>
      <family val="2"/>
      <sz val="10"/>
    </font>
    <font>
      <name val="Arial"/>
      <family val="2"/>
      <b val="1"/>
      <i val="1"/>
      <sz val="10"/>
      <u val="single"/>
    </font>
    <font>
      <name val="Arial"/>
      <family val="2"/>
      <i val="1"/>
      <sz val="10"/>
    </font>
    <font>
      <name val="Arial"/>
      <family val="2"/>
      <sz val="8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b val="1"/>
      <color theme="3" tint="0.3999755851924192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2" fillId="0" borderId="9" pivotButton="0" quotePrefix="0" xfId="0"/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0" applyAlignment="1" pivotButton="0" quotePrefix="0" xfId="0">
      <alignment horizontal="left"/>
    </xf>
    <xf numFmtId="0" fontId="0" fillId="0" borderId="15" pivotButton="0" quotePrefix="0" xfId="0"/>
    <xf numFmtId="0" fontId="0" fillId="0" borderId="16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0" pivotButton="0" quotePrefix="0" xfId="0"/>
    <xf numFmtId="1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17" pivotButton="0" quotePrefix="0" xfId="0"/>
    <xf numFmtId="0" fontId="0" fillId="0" borderId="8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8" pivotButton="0" quotePrefix="0" xfId="0"/>
    <xf numFmtId="0" fontId="2" fillId="0" borderId="19" pivotButton="0" quotePrefix="0" xfId="0"/>
    <xf numFmtId="0" fontId="0" fillId="0" borderId="21" pivotButton="0" quotePrefix="0" xfId="0"/>
    <xf numFmtId="0" fontId="0" fillId="0" borderId="22" applyAlignment="1" pivotButton="0" quotePrefix="0" xfId="0">
      <alignment horizontal="right"/>
    </xf>
    <xf numFmtId="0" fontId="2" fillId="0" borderId="23" applyAlignment="1" pivotButton="0" quotePrefix="0" xfId="0">
      <alignment horizontal="center"/>
    </xf>
    <xf numFmtId="0" fontId="2" fillId="0" borderId="24" pivotButton="0" quotePrefix="0" xfId="0"/>
    <xf numFmtId="0" fontId="2" fillId="0" borderId="25" applyAlignment="1" pivotButton="0" quotePrefix="0" xfId="0">
      <alignment horizontal="center"/>
    </xf>
    <xf numFmtId="0" fontId="2" fillId="0" borderId="26" applyAlignment="1" pivotButton="0" quotePrefix="0" xfId="0">
      <alignment horizontal="center"/>
    </xf>
    <xf numFmtId="0" fontId="2" fillId="0" borderId="22" pivotButton="0" quotePrefix="0" xfId="0"/>
    <xf numFmtId="0" fontId="0" fillId="0" borderId="27" applyAlignment="1" pivotButton="0" quotePrefix="0" xfId="0">
      <alignment horizontal="left"/>
    </xf>
    <xf numFmtId="0" fontId="0" fillId="0" borderId="27" pivotButton="0" quotePrefix="0" xfId="0"/>
    <xf numFmtId="0" fontId="0" fillId="0" borderId="18" applyAlignment="1" pivotButton="0" quotePrefix="0" xfId="0">
      <alignment horizontal="right"/>
    </xf>
    <xf numFmtId="0" fontId="0" fillId="0" borderId="20" pivotButton="0" quotePrefix="0" xfId="0"/>
    <xf numFmtId="0" fontId="0" fillId="0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15" applyAlignment="1" pivotButton="0" quotePrefix="0" xfId="0">
      <alignment horizontal="left"/>
    </xf>
    <xf numFmtId="0" fontId="0" fillId="0" borderId="17" applyAlignment="1" pivotButton="0" quotePrefix="0" xfId="0">
      <alignment horizontal="right"/>
    </xf>
    <xf numFmtId="0" fontId="0" fillId="0" borderId="16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5" fillId="0" borderId="0" pivotButton="0" quotePrefix="0" xfId="0"/>
    <xf numFmtId="2" fontId="0" fillId="0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11" fontId="0" fillId="0" borderId="0" pivotButton="0" quotePrefix="0" xfId="0"/>
    <xf numFmtId="0" fontId="4" fillId="0" borderId="1" applyAlignment="1" pivotButton="0" quotePrefix="0" xfId="0">
      <alignment horizontal="center"/>
    </xf>
    <xf numFmtId="0" fontId="9" fillId="0" borderId="0" applyAlignment="1" pivotButton="0" quotePrefix="0" xfId="0">
      <alignment vertical="top"/>
    </xf>
    <xf numFmtId="0" fontId="1" fillId="0" borderId="28" applyAlignment="1" pivotButton="0" quotePrefix="0" xfId="0">
      <alignment horizontal="center"/>
    </xf>
    <xf numFmtId="0" fontId="1" fillId="0" borderId="0" pivotButton="0" quotePrefix="0" xfId="0"/>
    <xf numFmtId="0" fontId="1" fillId="0" borderId="11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2" fillId="0" borderId="16" pivotButton="0" quotePrefix="0" xfId="0"/>
    <xf numFmtId="0" fontId="2" fillId="0" borderId="11" pivotButton="0" quotePrefix="0" xfId="0"/>
    <xf numFmtId="0" fontId="1" fillId="0" borderId="3" pivotButton="0" quotePrefix="0" xfId="0"/>
    <xf numFmtId="0" fontId="1" fillId="0" borderId="32" applyAlignment="1" pivotButton="0" quotePrefix="0" xfId="0">
      <alignment horizontal="center"/>
    </xf>
    <xf numFmtId="0" fontId="1" fillId="0" borderId="22" pivotButton="0" quotePrefix="0" xfId="0"/>
    <xf numFmtId="0" fontId="1" fillId="0" borderId="27" pivotButton="0" quotePrefix="0" xfId="0"/>
    <xf numFmtId="0" fontId="1" fillId="0" borderId="20" pivotButton="0" quotePrefix="0" xfId="0"/>
    <xf numFmtId="0" fontId="0" fillId="0" borderId="22" applyAlignment="1" pivotButton="0" quotePrefix="0" xfId="0">
      <alignment horizontal="center"/>
    </xf>
    <xf numFmtId="0" fontId="2" fillId="0" borderId="35" applyAlignment="1" pivotButton="0" quotePrefix="0" xfId="0">
      <alignment horizontal="center"/>
    </xf>
    <xf numFmtId="1" fontId="0" fillId="2" borderId="6" applyAlignment="1" pivotButton="0" quotePrefix="0" xfId="0">
      <alignment horizontal="center"/>
    </xf>
    <xf numFmtId="1" fontId="2" fillId="2" borderId="0" applyAlignment="1" pivotButton="0" quotePrefix="0" xfId="0">
      <alignment horizontal="right"/>
    </xf>
    <xf numFmtId="0" fontId="2" fillId="0" borderId="36" applyAlignment="1" pivotButton="0" quotePrefix="0" xfId="0">
      <alignment horizontal="center"/>
    </xf>
    <xf numFmtId="1" fontId="0" fillId="2" borderId="37" applyAlignment="1" pivotButton="0" quotePrefix="0" xfId="0">
      <alignment horizontal="center"/>
    </xf>
    <xf numFmtId="0" fontId="2" fillId="0" borderId="38" applyAlignment="1" pivotButton="0" quotePrefix="0" xfId="0">
      <alignment horizontal="center"/>
    </xf>
    <xf numFmtId="1" fontId="0" fillId="2" borderId="33" applyAlignment="1" pivotButton="0" quotePrefix="0" xfId="0">
      <alignment horizontal="center"/>
    </xf>
    <xf numFmtId="0" fontId="9" fillId="0" borderId="0" applyAlignment="1" pivotButton="0" quotePrefix="0" xfId="0">
      <alignment vertical="top" wrapText="1"/>
    </xf>
    <xf numFmtId="2" fontId="0" fillId="0" borderId="1" applyAlignment="1" pivotButton="0" quotePrefix="0" xfId="0">
      <alignment horizontal="center"/>
    </xf>
    <xf numFmtId="2" fontId="0" fillId="0" borderId="31" applyAlignment="1" pivotButton="0" quotePrefix="0" xfId="0">
      <alignment horizontal="center"/>
    </xf>
    <xf numFmtId="2" fontId="0" fillId="0" borderId="3" applyAlignment="1" pivotButton="0" quotePrefix="0" xfId="0">
      <alignment horizontal="center"/>
    </xf>
    <xf numFmtId="0" fontId="10" fillId="0" borderId="34" applyAlignment="1" pivotButton="0" quotePrefix="0" xfId="0">
      <alignment horizontal="center"/>
    </xf>
    <xf numFmtId="164" fontId="0" fillId="3" borderId="27" applyAlignment="1" pivotButton="0" quotePrefix="0" xfId="0">
      <alignment horizontal="center"/>
    </xf>
    <xf numFmtId="165" fontId="0" fillId="3" borderId="18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11" fillId="3" borderId="2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0" fontId="1" fillId="3" borderId="39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3" borderId="5" applyAlignment="1" pivotButton="0" quotePrefix="1" xfId="0">
      <alignment horizontal="center"/>
    </xf>
    <xf numFmtId="0" fontId="0" fillId="3" borderId="1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42" applyAlignment="1" pivotButton="0" quotePrefix="0" xfId="0">
      <alignment horizontal="center"/>
    </xf>
    <xf numFmtId="0" fontId="0" fillId="0" borderId="44" pivotButton="0" quotePrefix="0" xfId="0"/>
    <xf numFmtId="0" fontId="2" fillId="0" borderId="46" applyAlignment="1" pivotButton="0" quotePrefix="0" xfId="0">
      <alignment horizontal="center"/>
    </xf>
    <xf numFmtId="0" fontId="2" fillId="0" borderId="47" applyAlignment="1" pivotButton="0" quotePrefix="0" xfId="0">
      <alignment horizontal="center"/>
    </xf>
    <xf numFmtId="0" fontId="0" fillId="3" borderId="25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3" borderId="45" applyAlignment="1" pivotButton="0" quotePrefix="0" xfId="0">
      <alignment horizontal="center"/>
    </xf>
    <xf numFmtId="0" fontId="11" fillId="3" borderId="43" applyAlignment="1" pivotButton="0" quotePrefix="0" xfId="0">
      <alignment horizontal="center"/>
    </xf>
    <xf numFmtId="0" fontId="11" fillId="3" borderId="39" applyAlignment="1" pivotButton="0" quotePrefix="0" xfId="0">
      <alignment horizontal="center"/>
    </xf>
    <xf numFmtId="1" fontId="2" fillId="2" borderId="6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2" fillId="2" borderId="0" pivotButton="0" quotePrefix="0" xfId="0"/>
    <xf numFmtId="0" fontId="5" fillId="3" borderId="1" applyAlignment="1" applyProtection="1" pivotButton="0" quotePrefix="0" xfId="0">
      <alignment horizontal="center"/>
      <protection locked="0" hidden="0"/>
    </xf>
    <xf numFmtId="0" fontId="0" fillId="3" borderId="1" applyAlignment="1" applyProtection="1" pivotButton="0" quotePrefix="0" xfId="0">
      <alignment horizontal="center"/>
      <protection locked="0" hidden="0"/>
    </xf>
    <xf numFmtId="1" fontId="0" fillId="2" borderId="1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22" pivotButton="0" quotePrefix="0" xfId="0"/>
    <xf numFmtId="0" fontId="4" fillId="0" borderId="27" pivotButton="0" quotePrefix="0" xfId="0"/>
    <xf numFmtId="0" fontId="4" fillId="0" borderId="18" pivotButton="0" quotePrefix="0" xfId="0"/>
    <xf numFmtId="0" fontId="9" fillId="0" borderId="0" applyAlignment="1" pivotButton="0" quotePrefix="0" xfId="0">
      <alignment horizontal="left" vertical="top" wrapText="1"/>
    </xf>
    <xf numFmtId="0" fontId="4" fillId="0" borderId="15" pivotButton="0" quotePrefix="0" xfId="0"/>
    <xf numFmtId="0" fontId="4" fillId="0" borderId="22" applyAlignment="1" pivotButton="0" quotePrefix="0" xfId="0">
      <alignment horizontal="left"/>
    </xf>
    <xf numFmtId="0" fontId="4" fillId="0" borderId="27" applyAlignment="1" pivotButton="0" quotePrefix="0" xfId="0">
      <alignment horizontal="left"/>
    </xf>
    <xf numFmtId="0" fontId="4" fillId="0" borderId="18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4" fillId="0" borderId="15" applyAlignment="1" pivotButton="0" quotePrefix="0" xfId="0">
      <alignment horizontal="left"/>
    </xf>
    <xf numFmtId="0" fontId="4" fillId="0" borderId="16" applyAlignment="1" pivotButton="0" quotePrefix="0" xfId="0">
      <alignment horizontal="left"/>
    </xf>
    <xf numFmtId="1" fontId="0" fillId="0" borderId="4" applyAlignment="1" pivotButton="0" quotePrefix="0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6" applyAlignment="1" pivotButton="0" quotePrefix="0" xfId="0">
      <alignment horizontal="center"/>
    </xf>
    <xf numFmtId="1" fontId="2" fillId="2" borderId="0" applyAlignment="1" pivotButton="0" quotePrefix="0" xfId="0">
      <alignment horizontal="right"/>
    </xf>
    <xf numFmtId="0" fontId="11" fillId="3" borderId="13" applyAlignment="1" pivotButton="0" quotePrefix="0" xfId="0">
      <alignment horizontal="center"/>
    </xf>
    <xf numFmtId="0" fontId="11" fillId="3" borderId="48" applyAlignment="1" pivotButton="0" quotePrefix="0" xfId="0">
      <alignment horizontal="center"/>
    </xf>
    <xf numFmtId="0" fontId="11" fillId="3" borderId="4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/>
    </xf>
    <xf numFmtId="0" fontId="0" fillId="3" borderId="0" pivotButton="0" quotePrefix="0" xfId="0"/>
    <xf numFmtId="0" fontId="2" fillId="0" borderId="0" pivotButton="0" quotePrefix="0" xfId="0"/>
    <xf numFmtId="0" fontId="0" fillId="3" borderId="0" applyAlignment="1" pivotButton="0" quotePrefix="0" xfId="0">
      <alignment horizontal="right"/>
    </xf>
    <xf numFmtId="0" fontId="1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0" borderId="39" pivotButton="0" quotePrefix="0" xfId="0"/>
    <xf numFmtId="0" fontId="2" fillId="0" borderId="34" applyAlignment="1" pivotButton="0" quotePrefix="0" xfId="0">
      <alignment horizontal="center"/>
    </xf>
    <xf numFmtId="0" fontId="1" fillId="0" borderId="39" applyAlignment="1" pivotButton="0" quotePrefix="0" xfId="0">
      <alignment horizontal="center"/>
    </xf>
    <xf numFmtId="0" fontId="4" fillId="0" borderId="34" applyAlignment="1" pivotButton="0" quotePrefix="0" xfId="0">
      <alignment horizontal="left"/>
    </xf>
    <xf numFmtId="0" fontId="4" fillId="0" borderId="39" applyAlignment="1" pivotButton="0" quotePrefix="0" xfId="0">
      <alignment horizontal="left"/>
    </xf>
    <xf numFmtId="0" fontId="0" fillId="0" borderId="56" pivotButton="0" quotePrefix="0" xfId="0"/>
    <xf numFmtId="0" fontId="0" fillId="0" borderId="40" pivotButton="0" quotePrefix="0" xfId="0"/>
    <xf numFmtId="0" fontId="11" fillId="3" borderId="53" applyAlignment="1" pivotButton="0" quotePrefix="0" xfId="0">
      <alignment horizontal="center"/>
    </xf>
    <xf numFmtId="0" fontId="0" fillId="0" borderId="48" pivotButton="0" quotePrefix="0" xfId="0"/>
    <xf numFmtId="0" fontId="0" fillId="0" borderId="51" pivotButton="0" quotePrefix="0" xfId="0"/>
    <xf numFmtId="0" fontId="0" fillId="0" borderId="52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captiveaire.sharepoint.com/Documents%20and%20Settings/user/Desktop/T&amp;B%20Workshee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tact Information"/>
      <sheetName val="Pre-T&amp;B Summary Checklist"/>
      <sheetName val="Hoods"/>
      <sheetName val="Building Pressures"/>
      <sheetName val="Exhaust with Baffle Filters"/>
      <sheetName val="Sheet2"/>
      <sheetName val="Sheet3"/>
      <sheetName val="PSP Supply"/>
      <sheetName val="Supply Fan Filters"/>
      <sheetName val="Direct Fired Supply"/>
      <sheetName val="HVC Filters"/>
    </sheetNames>
    <sheetDataSet>
      <sheetData sheetId="0">
        <row r="14">
          <cell r="C14" t="str">
            <v>Sloppy Joe's Bar and Grill</v>
          </cell>
        </row>
        <row r="18">
          <cell r="B18" t="str">
            <v>843 Maple Avenue</v>
          </cell>
        </row>
        <row r="19">
          <cell r="B19" t="str">
            <v>Philadelphia</v>
          </cell>
          <cell r="F19" t="str">
            <v>PA</v>
          </cell>
          <cell r="H19">
            <v>19089</v>
          </cell>
        </row>
        <row r="22">
          <cell r="B22" t="str">
            <v>Joe Shmoe</v>
          </cell>
        </row>
        <row r="23">
          <cell r="B23">
            <v>9879879874</v>
          </cell>
        </row>
        <row r="27">
          <cell r="B27" t="str">
            <v>John Vanderbilt</v>
          </cell>
        </row>
        <row r="28">
          <cell r="B28">
            <v>9873459875</v>
          </cell>
        </row>
        <row r="33">
          <cell r="B33" t="str">
            <v>Brandon Wellington</v>
          </cell>
        </row>
        <row r="34">
          <cell r="B34" t="str">
            <v>Captive-Aire Systems</v>
          </cell>
        </row>
        <row r="35">
          <cell r="B35">
            <v>9879879874</v>
          </cell>
        </row>
        <row r="37">
          <cell r="B37">
            <v>39308</v>
          </cell>
        </row>
        <row r="49">
          <cell r="C49">
            <v>39240</v>
          </cell>
        </row>
        <row r="50">
          <cell r="D50">
            <v>39308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3" t="inlineStr">
        <is>
          <t>CaptiveAire / Evergreen Telemetry field worksheets – cleaned reference copy</t>
        </is>
      </c>
    </row>
    <row r="2">
      <c r="A2" s="154" t="inlineStr"/>
    </row>
    <row r="3">
      <c r="A3" s="154" t="inlineStr">
        <is>
          <t>Source: tb-worksheet-evergreen 2.xlsx (kept as backup). Job data removed; formulas unchanged except:</t>
        </is>
      </c>
    </row>
    <row r="4">
      <c r="A4" s="154" t="inlineStr">
        <is>
          <t xml:space="preserve">  - Supply Fan Filters: VLOOKUP now uses exact match (FALSE).</t>
        </is>
      </c>
    </row>
    <row r="5">
      <c r="A5" s="154" t="inlineStr">
        <is>
          <t xml:space="preserve">  - PSP Supply: CFM/ft returns blank instead of #DIV/0! when the block is empty; blanks count treated as 0.</t>
        </is>
      </c>
    </row>
    <row r="6">
      <c r="A6" s="154" t="inlineStr"/>
    </row>
    <row r="7">
      <c r="A7" s="154" t="inlineStr">
        <is>
          <t>Constants used by the a2b TAB workbook ({Dropdowns} sheet, columns H:Z):</t>
        </is>
      </c>
    </row>
    <row r="8">
      <c r="A8" s="154" t="inlineStr">
        <is>
          <t xml:space="preserve">  Exhaust baffle filters (VelGrid): CFM = velocity x free area x K, K = 1.34 Captrate / 1.28 baffle (rev 2.1)</t>
        </is>
      </c>
    </row>
    <row r="9">
      <c r="A9" s="154" t="inlineStr">
        <is>
          <t xml:space="preserve">  Supply fan filters (VelGrid):     CFM = velocity x free area x 1.35 (rev 1)</t>
        </is>
      </c>
    </row>
    <row r="10">
      <c r="A10" s="154" t="inlineStr">
        <is>
          <t xml:space="preserve">  Condensate baffle / HVC slot (Airfoil): CFM = average of 3 readings x probe constant (rev 0)</t>
        </is>
      </c>
    </row>
    <row r="11">
      <c r="A11" s="154" t="inlineStr">
        <is>
          <t xml:space="preserve">  PSP supply (VelGrid): CFM = avg of readings x (length - 2 - 2 x blanks) x width x K / 144, K = 0.88 (&lt;=12 in) or 0.95 (&gt;=14 in) (rev 2)</t>
        </is>
      </c>
    </row>
    <row r="12">
      <c r="A12" s="154" t="inlineStr">
        <is>
          <t xml:space="preserve">  Direct-fired burner profile pressure: CFM by housing size 1-5, linear interpolation between table points (rev 1)</t>
        </is>
      </c>
    </row>
    <row r="13">
      <c r="A13" s="154" t="inlineStr"/>
    </row>
    <row r="14">
      <c r="A14" s="154" t="inlineStr">
        <is>
          <t>Note: the exhaust and supply tables list slightly different free areas for the same nominal filter size</t>
        </is>
      </c>
    </row>
    <row r="15">
      <c r="A15" s="154" t="inlineStr">
        <is>
          <t>(e.g. 16x20: 1.73 vs 1.75 sq ft). Both are carried as published; confirm the current values with CaptiveAire.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AJ37"/>
  <sheetViews>
    <sheetView tabSelected="1" zoomScaleNormal="100" workbookViewId="0">
      <selection activeCell="L34" sqref="L34"/>
    </sheetView>
  </sheetViews>
  <sheetFormatPr baseColWidth="8" defaultRowHeight="12.5"/>
  <cols>
    <col width="20.7265625" bestFit="1" customWidth="1" min="1" max="1"/>
    <col width="10.7265625" customWidth="1" style="1" min="2" max="2"/>
    <col width="10.7265625" customWidth="1" min="3" max="14"/>
    <col width="8.81640625" customWidth="1" min="15" max="15"/>
    <col width="9.36328125" customWidth="1" min="16" max="16"/>
    <col width="9.08984375" customWidth="1" min="17" max="17"/>
    <col width="9.26953125" customWidth="1" min="18" max="18"/>
    <col width="14.81640625" bestFit="1" customWidth="1" min="19" max="19"/>
    <col width="13.1796875" bestFit="1" customWidth="1" min="20" max="20"/>
    <col width="9.08984375" customWidth="1" min="21" max="21"/>
    <col hidden="1" width="18.7265625" customWidth="1" min="22" max="22"/>
    <col hidden="1" width="3.90625" customWidth="1" min="23" max="23"/>
    <col hidden="1" width="3.7265625" customWidth="1" min="24" max="26"/>
    <col hidden="1" width="3.26953125" customWidth="1" min="27" max="27"/>
    <col hidden="1" width="3.08984375" customWidth="1" min="28" max="28"/>
    <col hidden="1" width="3.26953125" customWidth="1" min="29" max="29"/>
    <col hidden="1" width="4.26953125" customWidth="1" min="30" max="30"/>
    <col hidden="1" width="4.1796875" customWidth="1" min="31" max="31"/>
    <col hidden="1" width="4.08984375" customWidth="1" min="32" max="32"/>
    <col hidden="1" width="3.453125" customWidth="1" min="33" max="33"/>
    <col hidden="1" width="18.6328125" customWidth="1" min="34" max="34"/>
    <col hidden="1" width="14.1796875" customWidth="1" min="35" max="35"/>
  </cols>
  <sheetData>
    <row r="1" ht="17" customHeight="1">
      <c r="A1" s="125" t="inlineStr">
        <is>
          <t>Exhaust Baffle Filter CFM Worksheet for Evergreen VelGrid</t>
        </is>
      </c>
      <c r="N1" s="125" t="n"/>
    </row>
    <row r="2" ht="17" customHeight="1">
      <c r="A2" s="151" t="inlineStr">
        <is>
          <t>Job Number =</t>
        </is>
      </c>
      <c r="B2" s="20" t="n"/>
      <c r="M2" s="70" t="inlineStr">
        <is>
          <t>rev. 2.1</t>
        </is>
      </c>
      <c r="N2" s="70" t="n"/>
    </row>
    <row r="3" ht="17" customHeight="1">
      <c r="A3" s="151" t="inlineStr">
        <is>
          <t>Job Name =</t>
        </is>
      </c>
      <c r="B3" s="20" t="n"/>
    </row>
    <row r="4" ht="17" customHeight="1" thickBot="1"/>
    <row r="5" ht="17" customHeight="1" thickBot="1">
      <c r="A5" s="155" t="inlineStr">
        <is>
          <t>Hood Number 1 Information</t>
        </is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34" t="n"/>
      <c r="P5" s="156" t="inlineStr">
        <is>
          <t>Filter Information</t>
        </is>
      </c>
      <c r="Q5" s="21" t="n"/>
      <c r="R5" s="21" t="n"/>
      <c r="S5" s="21" t="n"/>
      <c r="T5" s="22" t="n"/>
      <c r="V5" s="30" t="inlineStr">
        <is>
          <t>Filter Reference Data</t>
        </is>
      </c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2" t="n"/>
      <c r="AH5" s="73" t="inlineStr">
        <is>
          <t>Filter Type Selection</t>
        </is>
      </c>
      <c r="AI5" s="74" t="inlineStr">
        <is>
          <t>Flter Type Data</t>
        </is>
      </c>
      <c r="AJ5" s="70" t="n"/>
    </row>
    <row r="6" ht="17" customHeight="1" thickBot="1">
      <c r="A6" s="42" t="inlineStr">
        <is>
          <t>Model =</t>
        </is>
      </c>
      <c r="B6" s="43" t="n"/>
      <c r="C6" s="80" t="inlineStr">
        <is>
          <t>Length =</t>
        </is>
      </c>
      <c r="D6" s="93" t="n"/>
      <c r="E6" s="94" t="n"/>
      <c r="F6" s="44" t="inlineStr">
        <is>
          <t>Notes:</t>
        </is>
      </c>
      <c r="G6" s="44" t="n"/>
      <c r="H6" s="44" t="n"/>
      <c r="I6" s="44" t="n"/>
      <c r="J6" s="44" t="n"/>
      <c r="K6" s="44" t="n"/>
      <c r="L6" s="44" t="n"/>
      <c r="M6" s="78" t="n"/>
      <c r="N6" s="34" t="n"/>
      <c r="P6" s="31" t="inlineStr">
        <is>
          <t>Reference</t>
        </is>
      </c>
      <c r="Q6" s="32" t="inlineStr">
        <is>
          <t>Filter Size</t>
        </is>
      </c>
      <c r="R6" s="32" t="inlineStr">
        <is>
          <t>Free Area</t>
        </is>
      </c>
      <c r="S6" s="76" t="inlineStr">
        <is>
          <t>Captrate K Factor</t>
        </is>
      </c>
      <c r="T6" s="71" t="inlineStr">
        <is>
          <t>Baffle K Factor</t>
        </is>
      </c>
      <c r="V6" s="11" t="inlineStr">
        <is>
          <t>Hood Number 1</t>
        </is>
      </c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6" t="n"/>
      <c r="AH6" s="26" t="inlineStr">
        <is>
          <t>No Filter</t>
        </is>
      </c>
      <c r="AI6" s="26" t="n"/>
      <c r="AJ6" s="70" t="n"/>
    </row>
    <row r="7" ht="17" customHeight="1" thickBot="1">
      <c r="A7" s="92" t="inlineStr">
        <is>
          <t>FILTER TYPE:</t>
        </is>
      </c>
      <c r="B7" s="77" t="n"/>
      <c r="C7" s="78" t="n"/>
      <c r="D7" s="78" t="n"/>
      <c r="E7" s="79" t="n"/>
      <c r="F7" s="78" t="n"/>
      <c r="G7" s="78" t="n"/>
      <c r="H7" s="78" t="n"/>
      <c r="I7" s="78" t="n"/>
      <c r="J7" s="78" t="n"/>
      <c r="K7" s="78" t="n"/>
      <c r="L7" s="78" t="n"/>
      <c r="M7" s="78" t="n"/>
      <c r="N7" s="72" t="n"/>
      <c r="P7" s="54" t="n">
        <v>1</v>
      </c>
      <c r="Q7" s="3" t="inlineStr">
        <is>
          <t>No Filter</t>
        </is>
      </c>
      <c r="R7" s="89" t="n">
        <v>0</v>
      </c>
      <c r="S7" s="90" t="n">
        <v>0</v>
      </c>
      <c r="T7" s="91" t="n">
        <v>0</v>
      </c>
      <c r="V7" s="4" t="inlineStr">
        <is>
          <t>Filter Number</t>
        </is>
      </c>
      <c r="W7" s="2" t="n">
        <v>1</v>
      </c>
      <c r="X7" s="2" t="n">
        <v>2</v>
      </c>
      <c r="Y7" s="2" t="n">
        <v>3</v>
      </c>
      <c r="Z7" s="2" t="n">
        <v>4</v>
      </c>
      <c r="AA7" s="2" t="n">
        <v>5</v>
      </c>
      <c r="AB7" s="2" t="n">
        <v>6</v>
      </c>
      <c r="AC7" s="2" t="n">
        <v>7</v>
      </c>
      <c r="AD7" s="2" t="n">
        <v>8</v>
      </c>
      <c r="AE7" s="2" t="n">
        <v>9</v>
      </c>
      <c r="AF7" s="2" t="n">
        <v>10</v>
      </c>
      <c r="AG7" s="5" t="n">
        <v>11</v>
      </c>
      <c r="AH7" s="75" t="inlineStr">
        <is>
          <t>Captrate</t>
        </is>
      </c>
      <c r="AI7" s="5" t="n"/>
    </row>
    <row r="8" ht="17" customHeight="1" thickBot="1">
      <c r="A8" s="98" t="inlineStr">
        <is>
          <t>Baffle K Factor</t>
        </is>
      </c>
      <c r="B8" s="97" t="inlineStr">
        <is>
          <t>Filter #1</t>
        </is>
      </c>
      <c r="C8" s="38" t="inlineStr">
        <is>
          <t>Filter #2</t>
        </is>
      </c>
      <c r="D8" s="38" t="inlineStr">
        <is>
          <t>Filter #3</t>
        </is>
      </c>
      <c r="E8" s="38" t="inlineStr">
        <is>
          <t>Filter #4</t>
        </is>
      </c>
      <c r="F8" s="38" t="inlineStr">
        <is>
          <t>Filter #5</t>
        </is>
      </c>
      <c r="G8" s="38" t="inlineStr">
        <is>
          <t>Filter #6</t>
        </is>
      </c>
      <c r="H8" s="38" t="inlineStr">
        <is>
          <t>Filter #7</t>
        </is>
      </c>
      <c r="I8" s="38" t="inlineStr">
        <is>
          <t>Filter #8</t>
        </is>
      </c>
      <c r="J8" s="38" t="inlineStr">
        <is>
          <t>Filter #9</t>
        </is>
      </c>
      <c r="K8" s="38" t="inlineStr">
        <is>
          <t>Filter #10</t>
        </is>
      </c>
      <c r="L8" s="38" t="inlineStr">
        <is>
          <t>Filter #11</t>
        </is>
      </c>
      <c r="M8" s="41" t="inlineStr">
        <is>
          <t>Total CFM</t>
        </is>
      </c>
      <c r="N8" s="81" t="inlineStr">
        <is>
          <t>CFM/ft</t>
        </is>
      </c>
      <c r="P8" s="54" t="n">
        <v>2</v>
      </c>
      <c r="Q8" s="3" t="inlineStr">
        <is>
          <t>10" x 16"</t>
        </is>
      </c>
      <c r="R8" s="3" t="n">
        <v>0.78</v>
      </c>
      <c r="S8" s="50" t="n">
        <v>1.34</v>
      </c>
      <c r="T8" s="6" t="n">
        <v>1.28</v>
      </c>
      <c r="V8" s="7" t="inlineStr">
        <is>
          <t>Combo Box Result</t>
        </is>
      </c>
      <c r="W8" s="23" t="n">
        <v>1</v>
      </c>
      <c r="X8" s="23" t="n">
        <v>1</v>
      </c>
      <c r="Y8" s="23" t="n">
        <v>1</v>
      </c>
      <c r="Z8" s="23" t="n">
        <v>1</v>
      </c>
      <c r="AA8" s="23" t="n">
        <v>1</v>
      </c>
      <c r="AB8" s="23" t="n">
        <v>1</v>
      </c>
      <c r="AC8" s="23" t="n">
        <v>1</v>
      </c>
      <c r="AD8" s="23" t="n">
        <v>1</v>
      </c>
      <c r="AE8" s="23" t="n">
        <v>1</v>
      </c>
      <c r="AF8" s="23" t="n">
        <v>1</v>
      </c>
      <c r="AG8" s="24" t="n">
        <v>1</v>
      </c>
      <c r="AH8" s="24" t="inlineStr">
        <is>
          <t>Baffle</t>
        </is>
      </c>
      <c r="AI8" s="24" t="n">
        <v>1</v>
      </c>
    </row>
    <row r="9" ht="17" customHeight="1">
      <c r="A9" s="39" t="inlineStr">
        <is>
          <t>Filter Size</t>
        </is>
      </c>
      <c r="B9" s="96" t="inlineStr">
        <is>
          <t>No Filter</t>
        </is>
      </c>
      <c r="C9" s="96" t="inlineStr">
        <is>
          <t>No Filter</t>
        </is>
      </c>
      <c r="D9" s="96" t="inlineStr">
        <is>
          <t>No Filter</t>
        </is>
      </c>
      <c r="E9" s="96" t="inlineStr">
        <is>
          <t>No Filter</t>
        </is>
      </c>
      <c r="F9" s="96" t="inlineStr">
        <is>
          <t>No Filter</t>
        </is>
      </c>
      <c r="G9" s="96" t="inlineStr">
        <is>
          <t>No Filter</t>
        </is>
      </c>
      <c r="H9" s="96" t="inlineStr">
        <is>
          <t>No Filter</t>
        </is>
      </c>
      <c r="I9" s="96" t="inlineStr">
        <is>
          <t>No Filter</t>
        </is>
      </c>
      <c r="J9" s="96" t="inlineStr">
        <is>
          <t>No Filter</t>
        </is>
      </c>
      <c r="K9" s="96" t="inlineStr">
        <is>
          <t>No Filter</t>
        </is>
      </c>
      <c r="L9" s="96" t="inlineStr">
        <is>
          <t>No Filter</t>
        </is>
      </c>
      <c r="M9" s="5" t="n"/>
      <c r="N9" s="5" t="n"/>
      <c r="P9" s="54" t="n">
        <v>3</v>
      </c>
      <c r="Q9" s="3" t="inlineStr">
        <is>
          <t>10" x 20"</t>
        </is>
      </c>
      <c r="R9" s="3" t="n">
        <v>0.99</v>
      </c>
      <c r="S9" s="50" t="n">
        <v>1.34</v>
      </c>
      <c r="T9" s="6" t="n">
        <v>1.28</v>
      </c>
      <c r="V9" s="11" t="inlineStr">
        <is>
          <t>Hood Number 2</t>
        </is>
      </c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6" t="n"/>
      <c r="AH9" s="26" t="n"/>
      <c r="AI9" s="26" t="n"/>
    </row>
    <row r="10" ht="17" customHeight="1">
      <c r="A10" s="18" t="inlineStr">
        <is>
          <t>Velocity</t>
        </is>
      </c>
      <c r="B10" s="95" t="n"/>
      <c r="C10" s="95" t="n"/>
      <c r="D10" s="95" t="n"/>
      <c r="E10" s="95" t="n"/>
      <c r="F10" s="95" t="n"/>
      <c r="G10" s="95" t="n"/>
      <c r="H10" s="95" t="n"/>
      <c r="I10" s="95" t="n"/>
      <c r="J10" s="95" t="n"/>
      <c r="K10" s="95" t="n"/>
      <c r="L10" s="95" t="n"/>
      <c r="M10" s="6" t="n"/>
      <c r="N10" s="6" t="n"/>
      <c r="P10" s="54" t="n">
        <v>4</v>
      </c>
      <c r="Q10" s="3" t="inlineStr">
        <is>
          <t>12" x 12"</t>
        </is>
      </c>
      <c r="R10" s="3" t="n">
        <v>0.6899999999999999</v>
      </c>
      <c r="S10" s="50" t="n">
        <v>1.34</v>
      </c>
      <c r="T10" s="6" t="n">
        <v>1.28</v>
      </c>
      <c r="V10" s="4" t="inlineStr">
        <is>
          <t>Filter Number</t>
        </is>
      </c>
      <c r="W10" s="2" t="n">
        <v>1</v>
      </c>
      <c r="X10" s="2" t="n">
        <v>2</v>
      </c>
      <c r="Y10" s="2" t="n">
        <v>3</v>
      </c>
      <c r="Z10" s="2" t="n">
        <v>4</v>
      </c>
      <c r="AA10" s="2" t="n">
        <v>5</v>
      </c>
      <c r="AB10" s="2" t="n">
        <v>6</v>
      </c>
      <c r="AC10" s="2" t="n">
        <v>7</v>
      </c>
      <c r="AD10" s="2" t="n">
        <v>8</v>
      </c>
      <c r="AE10" s="2" t="n">
        <v>9</v>
      </c>
      <c r="AF10" s="2" t="n">
        <v>10</v>
      </c>
      <c r="AG10" s="5" t="n">
        <v>11</v>
      </c>
      <c r="AH10" s="5" t="n"/>
      <c r="AI10" s="5" t="n"/>
    </row>
    <row r="11" ht="17" customHeight="1" thickBot="1">
      <c r="A11" s="19" t="inlineStr">
        <is>
          <t>CFM</t>
        </is>
      </c>
      <c r="B11" s="137">
        <f>VLOOKUP(B9,$Q$7:$T$19,2, FALSE)*B10*(IF($A8="Captrate K Factor",VLOOKUP(B9,$Q$7:$T$19,3, FALSE),VLOOKUP(B9,$Q$7:$T$19,4, FALSE)))</f>
        <v/>
      </c>
      <c r="C11" s="137">
        <f>VLOOKUP(C9,$Q$7:$T$19,2, FALSE)*C10*(IF($A8="Captrate K Factor",VLOOKUP(C9,$Q$7:$T$19,3, FALSE),VLOOKUP(C9,$Q$7:$T$19,4, FALSE)))</f>
        <v/>
      </c>
      <c r="D11" s="137">
        <f>VLOOKUP(D9,$Q$7:$T$19,2, FALSE)*D10*(IF($A8="Captrate K Factor",VLOOKUP(D9,$Q$7:$T$19,3, FALSE),VLOOKUP(D9,$Q$7:$T$19,4, FALSE)))</f>
        <v/>
      </c>
      <c r="E11" s="137">
        <f>VLOOKUP(E9,$Q$7:$T$19,2, FALSE)*E10*(IF($A8="Captrate K Factor",VLOOKUP(E9,$Q$7:$T$19,3, FALSE),VLOOKUP(E9,$Q$7:$T$19,4, FALSE)))</f>
        <v/>
      </c>
      <c r="F11" s="137">
        <f>VLOOKUP(F9,$Q$7:$T$19,2, FALSE)*F10*(IF($A8="Captrate K Factor",VLOOKUP(F9,$Q$7:$T$19,3, FALSE),VLOOKUP(F9,$Q$7:$T$19,4, FALSE)))</f>
        <v/>
      </c>
      <c r="G11" s="137">
        <f>VLOOKUP(G9,$Q$7:$T$19,2, FALSE)*G10*(IF($A8="Captrate K Factor",VLOOKUP(G9,$Q$7:$T$19,3, FALSE),VLOOKUP(G9,$Q$7:$T$19,4, FALSE)))</f>
        <v/>
      </c>
      <c r="H11" s="137">
        <f>VLOOKUP(H9,$Q$7:$T$19,2, FALSE)*H10*(IF($A8="Captrate K Factor",VLOOKUP(H9,$Q$7:$T$19,3, FALSE),VLOOKUP(H9,$Q$7:$T$19,4, FALSE)))</f>
        <v/>
      </c>
      <c r="I11" s="137">
        <f>VLOOKUP(I9,$Q$7:$T$19,2, FALSE)*I10*(IF($A8="Captrate K Factor",VLOOKUP(I9,$Q$7:$T$19,3, FALSE),VLOOKUP(I9,$Q$7:$T$19,4, FALSE)))</f>
        <v/>
      </c>
      <c r="J11" s="137">
        <f>VLOOKUP(J9,$Q$7:$T$19,2, FALSE)*J10*(IF($A8="Captrate K Factor",VLOOKUP(J9,$Q$7:$T$19,3, FALSE),VLOOKUP(J9,$Q$7:$T$19,4, FALSE)))</f>
        <v/>
      </c>
      <c r="K11" s="137">
        <f>VLOOKUP(K9,$Q$7:$T$19,2, FALSE)*K10*(IF($A8="Captrate K Factor",VLOOKUP(K9,$Q$7:$T$19,3, FALSE),VLOOKUP(K9,$Q$7:$T$19,4, FALSE)))</f>
        <v/>
      </c>
      <c r="L11" s="137">
        <f>VLOOKUP(L9,$Q$7:$T$19,2, FALSE)*L10*(IF($A8="Captrate K Factor",VLOOKUP(L9,$Q$7:$T$19,3, FALSE),VLOOKUP(L9,$Q$7:$T$19,4, FALSE)))</f>
        <v/>
      </c>
      <c r="M11" s="82">
        <f>SUM(B11:L11)</f>
        <v/>
      </c>
      <c r="N11" s="82">
        <f>M11/($D6+$E6/12)</f>
        <v/>
      </c>
      <c r="P11" s="54" t="n">
        <v>5</v>
      </c>
      <c r="Q11" s="3" t="inlineStr">
        <is>
          <t>12" x 16"</t>
        </is>
      </c>
      <c r="R11" s="3" t="n">
        <v>0.97</v>
      </c>
      <c r="S11" s="50" t="n">
        <v>1.34</v>
      </c>
      <c r="T11" s="6" t="n">
        <v>1.28</v>
      </c>
      <c r="V11" s="7" t="inlineStr">
        <is>
          <t>Combo Box Result</t>
        </is>
      </c>
      <c r="W11" s="23" t="n">
        <v>1</v>
      </c>
      <c r="X11" s="23" t="n">
        <v>1</v>
      </c>
      <c r="Y11" s="23" t="n">
        <v>1</v>
      </c>
      <c r="Z11" s="23" t="n">
        <v>1</v>
      </c>
      <c r="AA11" s="23" t="n">
        <v>1</v>
      </c>
      <c r="AB11" s="23" t="n">
        <v>1</v>
      </c>
      <c r="AC11" s="23" t="n">
        <v>1</v>
      </c>
      <c r="AD11" s="23" t="n">
        <v>1</v>
      </c>
      <c r="AE11" s="23" t="n">
        <v>1</v>
      </c>
      <c r="AF11" s="23" t="n">
        <v>1</v>
      </c>
      <c r="AG11" s="24" t="n">
        <v>1</v>
      </c>
      <c r="AH11" s="24" t="n"/>
      <c r="AI11" s="24" t="n">
        <v>1</v>
      </c>
    </row>
    <row r="12" ht="17" customHeight="1" thickBot="1">
      <c r="P12" s="54" t="n">
        <v>6</v>
      </c>
      <c r="Q12" s="3" t="inlineStr">
        <is>
          <t>12" x 20"</t>
        </is>
      </c>
      <c r="R12" s="3" t="n">
        <v>1.25</v>
      </c>
      <c r="S12" s="50" t="n">
        <v>1.34</v>
      </c>
      <c r="T12" s="6" t="n">
        <v>1.28</v>
      </c>
      <c r="V12" s="11" t="inlineStr">
        <is>
          <t>Hood Number 3</t>
        </is>
      </c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6" t="n"/>
      <c r="AH12" s="26" t="n"/>
      <c r="AI12" s="26" t="n"/>
    </row>
    <row r="13" ht="17" customHeight="1" thickBot="1">
      <c r="A13" s="155" t="inlineStr">
        <is>
          <t xml:space="preserve"> </t>
        </is>
      </c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34" t="n"/>
      <c r="P13" s="54" t="n">
        <v>7</v>
      </c>
      <c r="Q13" s="3" t="inlineStr">
        <is>
          <t>12" x 24"</t>
        </is>
      </c>
      <c r="R13" s="3" t="n">
        <v>1.52</v>
      </c>
      <c r="S13" s="50" t="n">
        <v>1.34</v>
      </c>
      <c r="T13" s="6" t="n">
        <v>1.28</v>
      </c>
      <c r="V13" s="4" t="inlineStr">
        <is>
          <t>Filter Number</t>
        </is>
      </c>
      <c r="W13" s="2" t="n">
        <v>1</v>
      </c>
      <c r="X13" s="2" t="n">
        <v>2</v>
      </c>
      <c r="Y13" s="2" t="n">
        <v>3</v>
      </c>
      <c r="Z13" s="2" t="n">
        <v>4</v>
      </c>
      <c r="AA13" s="2" t="n">
        <v>5</v>
      </c>
      <c r="AB13" s="2" t="n">
        <v>6</v>
      </c>
      <c r="AC13" s="2" t="n">
        <v>7</v>
      </c>
      <c r="AD13" s="2" t="n">
        <v>8</v>
      </c>
      <c r="AE13" s="2" t="n">
        <v>9</v>
      </c>
      <c r="AF13" s="2" t="n">
        <v>10</v>
      </c>
      <c r="AG13" s="5" t="n">
        <v>11</v>
      </c>
      <c r="AH13" s="5" t="n"/>
      <c r="AI13" s="5" t="n"/>
    </row>
    <row r="14" ht="17" customHeight="1" thickBot="1">
      <c r="A14" s="42" t="inlineStr">
        <is>
          <t>Model =</t>
        </is>
      </c>
      <c r="B14" s="43" t="n"/>
      <c r="C14" s="80" t="inlineStr">
        <is>
          <t>Length =</t>
        </is>
      </c>
      <c r="D14" s="93" t="n"/>
      <c r="E14" s="94" t="n"/>
      <c r="F14" s="44" t="inlineStr">
        <is>
          <t>Notes:</t>
        </is>
      </c>
      <c r="G14" s="44" t="n"/>
      <c r="H14" s="44" t="n"/>
      <c r="I14" s="44" t="n"/>
      <c r="J14" s="44" t="n"/>
      <c r="K14" s="44" t="n"/>
      <c r="L14" s="44" t="n"/>
      <c r="M14" s="34" t="n"/>
      <c r="N14" s="34" t="n"/>
      <c r="P14" s="54" t="n">
        <v>8</v>
      </c>
      <c r="Q14" s="3" t="inlineStr">
        <is>
          <t>16" x 16"</t>
        </is>
      </c>
      <c r="R14" s="3" t="n">
        <v>1.35</v>
      </c>
      <c r="S14" s="50" t="n">
        <v>1.34</v>
      </c>
      <c r="T14" s="6" t="n">
        <v>1.28</v>
      </c>
      <c r="V14" s="7" t="inlineStr">
        <is>
          <t>Combo Box Result</t>
        </is>
      </c>
      <c r="W14" s="23" t="n">
        <v>1</v>
      </c>
      <c r="X14" s="23" t="n">
        <v>1</v>
      </c>
      <c r="Y14" s="23" t="n">
        <v>1</v>
      </c>
      <c r="Z14" s="23" t="n">
        <v>1</v>
      </c>
      <c r="AA14" s="23" t="n">
        <v>1</v>
      </c>
      <c r="AB14" s="23" t="n">
        <v>1</v>
      </c>
      <c r="AC14" s="23" t="n">
        <v>1</v>
      </c>
      <c r="AD14" s="23" t="n">
        <v>1</v>
      </c>
      <c r="AE14" s="23" t="n">
        <v>1</v>
      </c>
      <c r="AF14" s="23" t="n">
        <v>1</v>
      </c>
      <c r="AG14" s="24" t="n">
        <v>1</v>
      </c>
      <c r="AH14" s="24" t="n"/>
      <c r="AI14" s="24" t="n">
        <v>1</v>
      </c>
    </row>
    <row r="15" ht="17" customHeight="1" thickBot="1">
      <c r="A15" s="92" t="inlineStr">
        <is>
          <t>FILTER TYPE:</t>
        </is>
      </c>
      <c r="B15" s="157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34" t="n"/>
      <c r="N15" s="72" t="n"/>
      <c r="P15" s="54" t="n">
        <v>9</v>
      </c>
      <c r="Q15" s="3" t="inlineStr">
        <is>
          <t>16" x 20"</t>
        </is>
      </c>
      <c r="R15" s="3" t="n">
        <v>1.73</v>
      </c>
      <c r="S15" s="50" t="n">
        <v>1.34</v>
      </c>
      <c r="T15" s="6" t="n">
        <v>1.28</v>
      </c>
      <c r="V15" s="11" t="inlineStr">
        <is>
          <t>Hood Number 4</t>
        </is>
      </c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6" t="n"/>
      <c r="AH15" s="26" t="n"/>
      <c r="AI15" s="26" t="n"/>
    </row>
    <row r="16" ht="17" customHeight="1" thickBot="1">
      <c r="A16" s="98" t="inlineStr">
        <is>
          <t>Baffle K Factor</t>
        </is>
      </c>
      <c r="B16" s="97" t="inlineStr">
        <is>
          <t>Filter #1</t>
        </is>
      </c>
      <c r="C16" s="38" t="inlineStr">
        <is>
          <t>Filter #2</t>
        </is>
      </c>
      <c r="D16" s="38" t="inlineStr">
        <is>
          <t>Filter #3</t>
        </is>
      </c>
      <c r="E16" s="38" t="inlineStr">
        <is>
          <t>Filter #4</t>
        </is>
      </c>
      <c r="F16" s="38" t="inlineStr">
        <is>
          <t>Filter #5</t>
        </is>
      </c>
      <c r="G16" s="38" t="inlineStr">
        <is>
          <t>Filter #6</t>
        </is>
      </c>
      <c r="H16" s="38" t="inlineStr">
        <is>
          <t>Filter #7</t>
        </is>
      </c>
      <c r="I16" s="38" t="inlineStr">
        <is>
          <t>Filter #8</t>
        </is>
      </c>
      <c r="J16" s="38" t="inlineStr">
        <is>
          <t>Filter #9</t>
        </is>
      </c>
      <c r="K16" s="38" t="inlineStr">
        <is>
          <t>Filter #10</t>
        </is>
      </c>
      <c r="L16" s="38" t="inlineStr">
        <is>
          <t>Filter #11</t>
        </is>
      </c>
      <c r="M16" s="146" t="inlineStr">
        <is>
          <t>Total CFM</t>
        </is>
      </c>
      <c r="N16" s="81" t="inlineStr">
        <is>
          <t>CFM/ft</t>
        </is>
      </c>
      <c r="P16" s="54" t="n">
        <v>10</v>
      </c>
      <c r="Q16" s="3" t="inlineStr">
        <is>
          <t>16" x 25"</t>
        </is>
      </c>
      <c r="R16" s="3" t="n">
        <v>2.22</v>
      </c>
      <c r="S16" s="50" t="n">
        <v>1.34</v>
      </c>
      <c r="T16" s="6" t="n">
        <v>1.28</v>
      </c>
      <c r="V16" s="4" t="inlineStr">
        <is>
          <t>Filter Number</t>
        </is>
      </c>
      <c r="W16" s="2" t="n">
        <v>1</v>
      </c>
      <c r="X16" s="2" t="n">
        <v>2</v>
      </c>
      <c r="Y16" s="2" t="n">
        <v>3</v>
      </c>
      <c r="Z16" s="2" t="n">
        <v>4</v>
      </c>
      <c r="AA16" s="2" t="n">
        <v>5</v>
      </c>
      <c r="AB16" s="2" t="n">
        <v>6</v>
      </c>
      <c r="AC16" s="2" t="n">
        <v>7</v>
      </c>
      <c r="AD16" s="2" t="n">
        <v>8</v>
      </c>
      <c r="AE16" s="2" t="n">
        <v>9</v>
      </c>
      <c r="AF16" s="2" t="n">
        <v>10</v>
      </c>
      <c r="AG16" s="5" t="n">
        <v>11</v>
      </c>
      <c r="AH16" s="5" t="n"/>
      <c r="AI16" s="5" t="n"/>
    </row>
    <row r="17" ht="17" customHeight="1" thickBot="1">
      <c r="A17" s="39" t="inlineStr">
        <is>
          <t>Filter Size</t>
        </is>
      </c>
      <c r="B17" s="96" t="inlineStr">
        <is>
          <t>No Filter</t>
        </is>
      </c>
      <c r="C17" s="96" t="inlineStr">
        <is>
          <t>No Filter</t>
        </is>
      </c>
      <c r="D17" s="96" t="inlineStr">
        <is>
          <t>No Filter</t>
        </is>
      </c>
      <c r="E17" s="96" t="inlineStr">
        <is>
          <t>No Filter</t>
        </is>
      </c>
      <c r="F17" s="96" t="inlineStr">
        <is>
          <t>No Filter</t>
        </is>
      </c>
      <c r="G17" s="96" t="inlineStr">
        <is>
          <t>No Filter</t>
        </is>
      </c>
      <c r="H17" s="96" t="inlineStr">
        <is>
          <t>No Filter</t>
        </is>
      </c>
      <c r="I17" s="96" t="inlineStr">
        <is>
          <t>No Filter</t>
        </is>
      </c>
      <c r="J17" s="96" t="inlineStr">
        <is>
          <t>No Filter</t>
        </is>
      </c>
      <c r="K17" s="96" t="inlineStr">
        <is>
          <t>No Filter</t>
        </is>
      </c>
      <c r="L17" s="96" t="inlineStr">
        <is>
          <t>No Filter</t>
        </is>
      </c>
      <c r="M17" s="5" t="n"/>
      <c r="N17" s="5" t="n"/>
      <c r="P17" s="54" t="n">
        <v>11</v>
      </c>
      <c r="Q17" s="3" t="inlineStr">
        <is>
          <t>20" x 20"</t>
        </is>
      </c>
      <c r="R17" s="3" t="n">
        <v>2.23</v>
      </c>
      <c r="S17" s="50" t="n">
        <v>1.34</v>
      </c>
      <c r="T17" s="6" t="n">
        <v>1.28</v>
      </c>
      <c r="V17" s="7" t="inlineStr">
        <is>
          <t>Combo Box Result</t>
        </is>
      </c>
      <c r="W17" s="23" t="n">
        <v>1</v>
      </c>
      <c r="X17" s="23" t="n">
        <v>1</v>
      </c>
      <c r="Y17" s="23" t="n">
        <v>1</v>
      </c>
      <c r="Z17" s="23" t="n">
        <v>1</v>
      </c>
      <c r="AA17" s="23" t="n">
        <v>1</v>
      </c>
      <c r="AB17" s="23" t="n">
        <v>1</v>
      </c>
      <c r="AC17" s="23" t="n">
        <v>1</v>
      </c>
      <c r="AD17" s="23" t="n">
        <v>1</v>
      </c>
      <c r="AE17" s="23" t="n">
        <v>1</v>
      </c>
      <c r="AF17" s="23" t="n">
        <v>1</v>
      </c>
      <c r="AG17" s="24" t="n">
        <v>1</v>
      </c>
      <c r="AH17" s="24" t="n"/>
      <c r="AI17" s="24" t="n">
        <v>1</v>
      </c>
    </row>
    <row r="18" ht="17" customHeight="1">
      <c r="A18" s="18" t="inlineStr">
        <is>
          <t>Velocity</t>
        </is>
      </c>
      <c r="B18" s="95" t="n"/>
      <c r="C18" s="95" t="n"/>
      <c r="D18" s="95" t="n"/>
      <c r="E18" s="95" t="n"/>
      <c r="F18" s="95" t="n"/>
      <c r="G18" s="95" t="n"/>
      <c r="H18" s="95" t="n"/>
      <c r="I18" s="95" t="n"/>
      <c r="J18" s="95" t="n"/>
      <c r="K18" s="95" t="n"/>
      <c r="L18" s="95" t="n"/>
      <c r="M18" s="6" t="n"/>
      <c r="N18" s="6" t="n"/>
      <c r="P18" s="54" t="n">
        <v>12</v>
      </c>
      <c r="Q18" s="3" t="inlineStr">
        <is>
          <t>20" x 25"</t>
        </is>
      </c>
      <c r="R18" s="3" t="n">
        <v>2.85</v>
      </c>
      <c r="S18" s="50" t="n">
        <v>1.34</v>
      </c>
      <c r="T18" s="6" t="n">
        <v>1.28</v>
      </c>
    </row>
    <row r="19" ht="17" customHeight="1" thickBot="1">
      <c r="A19" s="19" t="inlineStr">
        <is>
          <t>CFM</t>
        </is>
      </c>
      <c r="B19" s="137">
        <f>VLOOKUP(B17,$Q$7:$T$19,2, FALSE)*B18*(IF($A16="Captrate K Factor",VLOOKUP(B17,$Q$7:$T$19,3, FALSE),VLOOKUP(B17,$Q$7:$T$19,4, FALSE)))</f>
        <v/>
      </c>
      <c r="C19" s="137">
        <f>VLOOKUP(C17,$Q$7:$T$19,2, FALSE)*C18*(IF($A16="Captrate K Factor",VLOOKUP(C17,$Q$7:$T$19,3, FALSE),VLOOKUP(C17,$Q$7:$T$19,4, FALSE)))</f>
        <v/>
      </c>
      <c r="D19" s="137">
        <f>VLOOKUP(D17,$Q$7:$T$19,2, FALSE)*D18*(IF($A16="Captrate K Factor",VLOOKUP(D17,$Q$7:$T$19,3, FALSE),VLOOKUP(D17,$Q$7:$T$19,4, FALSE)))</f>
        <v/>
      </c>
      <c r="E19" s="137">
        <f>VLOOKUP(E17,$Q$7:$T$19,2, FALSE)*E18*(IF($A16="Captrate K Factor",VLOOKUP(E17,$Q$7:$T$19,3, FALSE),VLOOKUP(E17,$Q$7:$T$19,4, FALSE)))</f>
        <v/>
      </c>
      <c r="F19" s="137">
        <f>VLOOKUP(F17,$Q$7:$T$19,2, FALSE)*F18*(IF($A16="Captrate K Factor",VLOOKUP(F17,$Q$7:$T$19,3, FALSE),VLOOKUP(F17,$Q$7:$T$19,4, FALSE)))</f>
        <v/>
      </c>
      <c r="G19" s="137">
        <f>VLOOKUP(G17,$Q$7:$T$19,2, FALSE)*G18*(IF($A16="Captrate K Factor",VLOOKUP(G17,$Q$7:$T$19,3, FALSE),VLOOKUP(G17,$Q$7:$T$19,4, FALSE)))</f>
        <v/>
      </c>
      <c r="H19" s="137">
        <f>VLOOKUP(H17,$Q$7:$T$19,2, FALSE)*H18*(IF($A16="Captrate K Factor",VLOOKUP(H17,$Q$7:$T$19,3, FALSE),VLOOKUP(H17,$Q$7:$T$19,4, FALSE)))</f>
        <v/>
      </c>
      <c r="I19" s="137">
        <f>VLOOKUP(I17,$Q$7:$T$19,2, FALSE)*I18*(IF($A16="Captrate K Factor",VLOOKUP(I17,$Q$7:$T$19,3, FALSE),VLOOKUP(I17,$Q$7:$T$19,4, FALSE)))</f>
        <v/>
      </c>
      <c r="J19" s="137">
        <f>VLOOKUP(J17,$Q$7:$T$19,2, FALSE)*J18*(IF($A16="Captrate K Factor",VLOOKUP(J17,$Q$7:$T$19,3, FALSE),VLOOKUP(J17,$Q$7:$T$19,4, FALSE)))</f>
        <v/>
      </c>
      <c r="K19" s="137">
        <f>VLOOKUP(K17,$Q$7:$T$19,2, FALSE)*K18*(IF($A16="Captrate K Factor",VLOOKUP(K17,$Q$7:$T$19,3, FALSE),VLOOKUP(K17,$Q$7:$T$19,4, FALSE)))</f>
        <v/>
      </c>
      <c r="L19" s="137">
        <f>VLOOKUP(L17,$Q$7:$T$19,2, FALSE)*L18*(IF($A16="Captrate K Factor",VLOOKUP(L17,$Q$7:$T$19,3, FALSE),VLOOKUP(L17,$Q$7:$T$19,4, FALSE)))</f>
        <v/>
      </c>
      <c r="M19" s="82">
        <f>SUM(B19:L19)</f>
        <v/>
      </c>
      <c r="N19" s="82">
        <f>M19/($D14+$E14/12)</f>
        <v/>
      </c>
      <c r="P19" s="55" t="n">
        <v>13</v>
      </c>
      <c r="Q19" s="8" t="inlineStr">
        <is>
          <t>24" x 24"</t>
        </is>
      </c>
      <c r="R19" s="8" t="n">
        <v>3.36</v>
      </c>
      <c r="S19" s="50" t="n">
        <v>1.34</v>
      </c>
      <c r="T19" s="6" t="n">
        <v>1.28</v>
      </c>
    </row>
    <row r="20" ht="17" customHeight="1" thickBot="1"/>
    <row r="21" ht="17" customHeight="1" thickBot="1">
      <c r="A21" s="155" t="inlineStr">
        <is>
          <t>Hood Number 3 Information</t>
        </is>
      </c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34" t="n"/>
      <c r="P21" s="129" t="inlineStr">
        <is>
          <t>*NOTE:  You must use the longer standoffs when taking readings with the Evergreen Vel-Grid.</t>
        </is>
      </c>
      <c r="T21" s="88" t="n"/>
      <c r="U21" s="68" t="n"/>
      <c r="V21" s="68" t="n"/>
      <c r="W21" s="68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</row>
    <row r="22" ht="17" customHeight="1" thickBot="1">
      <c r="A22" s="42" t="inlineStr">
        <is>
          <t>Model =</t>
        </is>
      </c>
      <c r="B22" s="43" t="n"/>
      <c r="C22" s="80" t="inlineStr">
        <is>
          <t>Length =</t>
        </is>
      </c>
      <c r="D22" s="93" t="n"/>
      <c r="E22" s="94" t="n"/>
      <c r="F22" s="44" t="inlineStr">
        <is>
          <t>Notes:</t>
        </is>
      </c>
      <c r="G22" s="44" t="n"/>
      <c r="H22" s="44" t="n"/>
      <c r="I22" s="44" t="n"/>
      <c r="J22" s="44" t="n"/>
      <c r="K22" s="44" t="n"/>
      <c r="L22" s="44" t="n"/>
      <c r="M22" s="34" t="n"/>
      <c r="N22" s="34" t="n"/>
      <c r="T22" s="88" t="n"/>
      <c r="U22" s="68" t="n"/>
      <c r="V22" s="68" t="n"/>
      <c r="W22" s="68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</row>
    <row r="23" ht="17" customHeight="1" thickBot="1">
      <c r="A23" s="92" t="inlineStr">
        <is>
          <t>FILTER TYPE:</t>
        </is>
      </c>
      <c r="B23" s="157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34" t="n"/>
      <c r="N23" s="72" t="n"/>
      <c r="R23" s="70" t="n"/>
    </row>
    <row r="24" ht="17" customHeight="1" thickBot="1">
      <c r="A24" s="98" t="inlineStr">
        <is>
          <t>Baffle K Factor</t>
        </is>
      </c>
      <c r="B24" s="97" t="inlineStr">
        <is>
          <t>Filter #1</t>
        </is>
      </c>
      <c r="C24" s="38" t="inlineStr">
        <is>
          <t>Filter #2</t>
        </is>
      </c>
      <c r="D24" s="38" t="inlineStr">
        <is>
          <t>Filter #3</t>
        </is>
      </c>
      <c r="E24" s="38" t="inlineStr">
        <is>
          <t>Filter #4</t>
        </is>
      </c>
      <c r="F24" s="38" t="inlineStr">
        <is>
          <t>Filter #5</t>
        </is>
      </c>
      <c r="G24" s="38" t="inlineStr">
        <is>
          <t>Filter #6</t>
        </is>
      </c>
      <c r="H24" s="38" t="inlineStr">
        <is>
          <t>Filter #7</t>
        </is>
      </c>
      <c r="I24" s="38" t="inlineStr">
        <is>
          <t>Filter #8</t>
        </is>
      </c>
      <c r="J24" s="38" t="inlineStr">
        <is>
          <t>Filter #9</t>
        </is>
      </c>
      <c r="K24" s="38" t="inlineStr">
        <is>
          <t>Filter #10</t>
        </is>
      </c>
      <c r="L24" s="38" t="inlineStr">
        <is>
          <t>Filter #11</t>
        </is>
      </c>
      <c r="M24" s="146" t="inlineStr">
        <is>
          <t>Total CFM</t>
        </is>
      </c>
      <c r="N24" s="81" t="inlineStr">
        <is>
          <t>CFM/ft</t>
        </is>
      </c>
    </row>
    <row r="25" ht="17" customHeight="1">
      <c r="A25" s="39" t="inlineStr">
        <is>
          <t>Filter Size</t>
        </is>
      </c>
      <c r="B25" s="96" t="inlineStr">
        <is>
          <t>No Filter</t>
        </is>
      </c>
      <c r="C25" s="96" t="inlineStr">
        <is>
          <t>No Filter</t>
        </is>
      </c>
      <c r="D25" s="96" t="inlineStr">
        <is>
          <t>No Filter</t>
        </is>
      </c>
      <c r="E25" s="96" t="inlineStr">
        <is>
          <t>No Filter</t>
        </is>
      </c>
      <c r="F25" s="96" t="inlineStr">
        <is>
          <t>No Filter</t>
        </is>
      </c>
      <c r="G25" s="96" t="inlineStr">
        <is>
          <t>No Filter</t>
        </is>
      </c>
      <c r="H25" s="96" t="inlineStr">
        <is>
          <t>No Filter</t>
        </is>
      </c>
      <c r="I25" s="96" t="inlineStr">
        <is>
          <t>No Filter</t>
        </is>
      </c>
      <c r="J25" s="96" t="inlineStr">
        <is>
          <t>No Filter</t>
        </is>
      </c>
      <c r="K25" s="96" t="inlineStr">
        <is>
          <t>No Filter</t>
        </is>
      </c>
      <c r="L25" s="96" t="inlineStr">
        <is>
          <t>No Filter</t>
        </is>
      </c>
      <c r="M25" s="5" t="n"/>
      <c r="N25" s="5" t="n"/>
    </row>
    <row r="26" ht="17" customHeight="1">
      <c r="A26" s="18" t="inlineStr">
        <is>
          <t>Velocity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6" t="n"/>
      <c r="N26" s="6" t="n"/>
    </row>
    <row r="27" ht="17" customHeight="1" thickBot="1">
      <c r="A27" s="19" t="inlineStr">
        <is>
          <t>CFM</t>
        </is>
      </c>
      <c r="B27" s="137">
        <f>VLOOKUP(B25,$Q$7:$T$19,2, FALSE)*B26*(IF($A24="Captrate K Factor",VLOOKUP(B25,$Q$7:$T$19,3, FALSE),VLOOKUP(B25,$Q$7:$T$19,4, FALSE)))</f>
        <v/>
      </c>
      <c r="C27" s="137">
        <f>VLOOKUP(C25,$Q$7:$T$19,2, FALSE)*C26*(IF($A24="Captrate K Factor",VLOOKUP(C25,$Q$7:$T$19,3, FALSE),VLOOKUP(C25,$Q$7:$T$19,4, FALSE)))</f>
        <v/>
      </c>
      <c r="D27" s="137">
        <f>VLOOKUP(D25,$Q$7:$T$19,2, FALSE)*D26*(IF($A24="Captrate K Factor",VLOOKUP(D25,$Q$7:$T$19,3, FALSE),VLOOKUP(D25,$Q$7:$T$19,4, FALSE)))</f>
        <v/>
      </c>
      <c r="E27" s="137">
        <f>VLOOKUP(E25,$Q$7:$T$19,2, FALSE)*E26*(IF($A24="Captrate K Factor",VLOOKUP(E25,$Q$7:$T$19,3, FALSE),VLOOKUP(E25,$Q$7:$T$19,4, FALSE)))</f>
        <v/>
      </c>
      <c r="F27" s="137">
        <f>VLOOKUP(F25,$Q$7:$T$19,2, FALSE)*F26*(IF($A24="Captrate K Factor",VLOOKUP(F25,$Q$7:$T$19,3, FALSE),VLOOKUP(F25,$Q$7:$T$19,4, FALSE)))</f>
        <v/>
      </c>
      <c r="G27" s="137">
        <f>VLOOKUP(G25,$Q$7:$T$19,2, FALSE)*G26*(IF($A24="Captrate K Factor",VLOOKUP(G25,$Q$7:$T$19,3, FALSE),VLOOKUP(G25,$Q$7:$T$19,4, FALSE)))</f>
        <v/>
      </c>
      <c r="H27" s="137">
        <f>VLOOKUP(H25,$Q$7:$T$19,2, FALSE)*H26*(IF($A24="Captrate K Factor",VLOOKUP(H25,$Q$7:$T$19,3, FALSE),VLOOKUP(H25,$Q$7:$T$19,4, FALSE)))</f>
        <v/>
      </c>
      <c r="I27" s="137">
        <f>VLOOKUP(I25,$Q$7:$T$19,2, FALSE)*I26*(IF($A24="Captrate K Factor",VLOOKUP(I25,$Q$7:$T$19,3, FALSE),VLOOKUP(I25,$Q$7:$T$19,4, FALSE)))</f>
        <v/>
      </c>
      <c r="J27" s="137">
        <f>VLOOKUP(J25,$Q$7:$T$19,2, FALSE)*J26*(IF($A24="Captrate K Factor",VLOOKUP(J25,$Q$7:$T$19,3, FALSE),VLOOKUP(J25,$Q$7:$T$19,4, FALSE)))</f>
        <v/>
      </c>
      <c r="K27" s="137">
        <f>VLOOKUP(K25,$Q$7:$T$19,2, FALSE)*K26*(IF($A24="Captrate K Factor",VLOOKUP(K25,$Q$7:$T$19,3, FALSE),VLOOKUP(K25,$Q$7:$T$19,4, FALSE)))</f>
        <v/>
      </c>
      <c r="L27" s="137">
        <f>VLOOKUP(L25,$Q$7:$T$19,2, FALSE)*L26*(IF($A24="Captrate K Factor",VLOOKUP(L25,$Q$7:$T$19,3, FALSE),VLOOKUP(L25,$Q$7:$T$19,4, FALSE)))</f>
        <v/>
      </c>
      <c r="M27" s="82">
        <f>SUM(B27:L27)</f>
        <v/>
      </c>
      <c r="N27" s="82">
        <f>M27/($D22+$E22/12)</f>
        <v/>
      </c>
      <c r="R27" s="70" t="n"/>
    </row>
    <row r="28" ht="17" customHeight="1" thickBot="1"/>
    <row r="29" ht="17" customHeight="1" thickBot="1">
      <c r="A29" s="155" t="inlineStr">
        <is>
          <t>Hood Number 4 Information</t>
        </is>
      </c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34" t="n"/>
    </row>
    <row r="30" ht="17" customHeight="1" thickBot="1">
      <c r="A30" s="42" t="inlineStr">
        <is>
          <t>Model =</t>
        </is>
      </c>
      <c r="B30" s="43" t="n"/>
      <c r="C30" s="80" t="inlineStr">
        <is>
          <t>Length =</t>
        </is>
      </c>
      <c r="D30" s="93" t="n"/>
      <c r="E30" s="94" t="n"/>
      <c r="F30" s="44" t="inlineStr">
        <is>
          <t>Notes:</t>
        </is>
      </c>
      <c r="G30" s="44" t="n"/>
      <c r="H30" s="44" t="n"/>
      <c r="I30" s="44" t="n"/>
      <c r="J30" s="44" t="n"/>
      <c r="K30" s="44" t="n"/>
      <c r="L30" s="44" t="n"/>
      <c r="M30" s="34" t="n"/>
      <c r="N30" s="34" t="n"/>
    </row>
    <row r="31" ht="17" customHeight="1" thickBot="1">
      <c r="A31" s="92" t="inlineStr">
        <is>
          <t>FILTER TYPE:</t>
        </is>
      </c>
      <c r="B31" s="157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34" t="n"/>
      <c r="N31" s="72" t="n"/>
    </row>
    <row r="32" ht="17" customHeight="1" thickBot="1">
      <c r="A32" s="98" t="inlineStr">
        <is>
          <t>Baffle K Factor</t>
        </is>
      </c>
      <c r="B32" s="97" t="inlineStr">
        <is>
          <t>Filter #1</t>
        </is>
      </c>
      <c r="C32" s="38" t="inlineStr">
        <is>
          <t>Filter #2</t>
        </is>
      </c>
      <c r="D32" s="38" t="inlineStr">
        <is>
          <t>Filter #3</t>
        </is>
      </c>
      <c r="E32" s="38" t="inlineStr">
        <is>
          <t>Filter #4</t>
        </is>
      </c>
      <c r="F32" s="38" t="inlineStr">
        <is>
          <t>Filter #5</t>
        </is>
      </c>
      <c r="G32" s="38" t="inlineStr">
        <is>
          <t>Filter #6</t>
        </is>
      </c>
      <c r="H32" s="38" t="inlineStr">
        <is>
          <t>Filter #7</t>
        </is>
      </c>
      <c r="I32" s="38" t="inlineStr">
        <is>
          <t>Filter #8</t>
        </is>
      </c>
      <c r="J32" s="38" t="inlineStr">
        <is>
          <t>Filter #9</t>
        </is>
      </c>
      <c r="K32" s="38" t="inlineStr">
        <is>
          <t>Filter #10</t>
        </is>
      </c>
      <c r="L32" s="38" t="inlineStr">
        <is>
          <t>Filter #11</t>
        </is>
      </c>
      <c r="M32" s="146" t="inlineStr">
        <is>
          <t>Total CFM</t>
        </is>
      </c>
      <c r="N32" s="81" t="inlineStr">
        <is>
          <t>CFM/ft</t>
        </is>
      </c>
    </row>
    <row r="33" ht="17" customHeight="1">
      <c r="A33" s="39" t="inlineStr">
        <is>
          <t>Filter Size</t>
        </is>
      </c>
      <c r="B33" s="96" t="inlineStr">
        <is>
          <t>No Filter</t>
        </is>
      </c>
      <c r="C33" s="96" t="inlineStr">
        <is>
          <t>No Filter</t>
        </is>
      </c>
      <c r="D33" s="96" t="inlineStr">
        <is>
          <t>No Filter</t>
        </is>
      </c>
      <c r="E33" s="96" t="inlineStr">
        <is>
          <t>No Filter</t>
        </is>
      </c>
      <c r="F33" s="96" t="inlineStr">
        <is>
          <t>No Filter</t>
        </is>
      </c>
      <c r="G33" s="96" t="inlineStr">
        <is>
          <t>No Filter</t>
        </is>
      </c>
      <c r="H33" s="96" t="inlineStr">
        <is>
          <t>No Filter</t>
        </is>
      </c>
      <c r="I33" s="96" t="inlineStr">
        <is>
          <t>No Filter</t>
        </is>
      </c>
      <c r="J33" s="96" t="inlineStr">
        <is>
          <t>No Filter</t>
        </is>
      </c>
      <c r="K33" s="96" t="inlineStr">
        <is>
          <t>No Filter</t>
        </is>
      </c>
      <c r="L33" s="96" t="inlineStr">
        <is>
          <t>No Filter</t>
        </is>
      </c>
      <c r="M33" s="5" t="n"/>
      <c r="N33" s="5" t="n"/>
    </row>
    <row r="34" ht="17" customHeight="1">
      <c r="A34" s="18" t="inlineStr">
        <is>
          <t>Velocity</t>
        </is>
      </c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6" t="n"/>
      <c r="N34" s="6" t="n"/>
    </row>
    <row r="35" ht="17" customHeight="1" thickBot="1">
      <c r="A35" s="19" t="inlineStr">
        <is>
          <t>CFM</t>
        </is>
      </c>
      <c r="B35" s="137">
        <f>VLOOKUP(B33,$Q$7:$T$19,2, FALSE)*B34*(IF($A32="Captrate K Factor",VLOOKUP(B33,$Q$7:$T$19,3, FALSE),VLOOKUP(B33,$Q$7:$T$19,4, FALSE)))</f>
        <v/>
      </c>
      <c r="C35" s="137">
        <f>VLOOKUP(C33,$Q$7:$T$19,2, FALSE)*C34*(IF($A32="Captrate K Factor",VLOOKUP(C33,$Q$7:$T$19,3, FALSE),VLOOKUP(C33,$Q$7:$T$19,4, FALSE)))</f>
        <v/>
      </c>
      <c r="D35" s="137">
        <f>VLOOKUP(D33,$Q$7:$T$19,2, FALSE)*D34*(IF($A32="Captrate K Factor",VLOOKUP(D33,$Q$7:$T$19,3, FALSE),VLOOKUP(D33,$Q$7:$T$19,4, FALSE)))</f>
        <v/>
      </c>
      <c r="E35" s="137">
        <f>VLOOKUP(E33,$Q$7:$T$19,2, FALSE)*E34*(IF($A32="Captrate K Factor",VLOOKUP(E33,$Q$7:$T$19,3, FALSE),VLOOKUP(E33,$Q$7:$T$19,4, FALSE)))</f>
        <v/>
      </c>
      <c r="F35" s="137">
        <f>VLOOKUP(F33,$Q$7:$T$19,2, FALSE)*F34*(IF($A32="Captrate K Factor",VLOOKUP(F33,$Q$7:$T$19,3, FALSE),VLOOKUP(F33,$Q$7:$T$19,4, FALSE)))</f>
        <v/>
      </c>
      <c r="G35" s="137">
        <f>VLOOKUP(G33,$Q$7:$T$19,2, FALSE)*G34*(IF($A32="Captrate K Factor",VLOOKUP(G33,$Q$7:$T$19,3, FALSE),VLOOKUP(G33,$Q$7:$T$19,4, FALSE)))</f>
        <v/>
      </c>
      <c r="H35" s="137">
        <f>VLOOKUP(H33,$Q$7:$T$19,2, FALSE)*H34*(IF($A32="Captrate K Factor",VLOOKUP(H33,$Q$7:$T$19,3, FALSE),VLOOKUP(H33,$Q$7:$T$19,4, FALSE)))</f>
        <v/>
      </c>
      <c r="I35" s="137">
        <f>VLOOKUP(I33,$Q$7:$T$19,2, FALSE)*I34*(IF($A32="Captrate K Factor",VLOOKUP(I33,$Q$7:$T$19,3, FALSE),VLOOKUP(I33,$Q$7:$T$19,4, FALSE)))</f>
        <v/>
      </c>
      <c r="J35" s="137">
        <f>VLOOKUP(J33,$Q$7:$T$19,2, FALSE)*J34*(IF($A32="Captrate K Factor",VLOOKUP(J33,$Q$7:$T$19,3, FALSE),VLOOKUP(J33,$Q$7:$T$19,4, FALSE)))</f>
        <v/>
      </c>
      <c r="K35" s="137">
        <f>VLOOKUP(K33,$Q$7:$T$19,2, FALSE)*K34*(IF($A32="Captrate K Factor",VLOOKUP(K33,$Q$7:$T$19,3, FALSE),VLOOKUP(K33,$Q$7:$T$19,4, FALSE)))</f>
        <v/>
      </c>
      <c r="L35" s="137">
        <f>VLOOKUP(L33,$Q$7:$T$19,2, FALSE)*L34*(IF($A32="Captrate K Factor",VLOOKUP(L33,$Q$7:$T$19,3, FALSE),VLOOKUP(L33,$Q$7:$T$19,4, FALSE)))</f>
        <v/>
      </c>
      <c r="M35" s="82">
        <f>SUM(B35:L35)</f>
        <v/>
      </c>
      <c r="N35" s="82">
        <f>M35/($D30+$E30/12)</f>
        <v/>
      </c>
    </row>
    <row r="36" ht="17" customHeight="1"/>
    <row r="37" ht="17" customHeight="1">
      <c r="A37" s="151" t="inlineStr">
        <is>
          <t>Total Exhaust CFM's =</t>
        </is>
      </c>
      <c r="B37" s="140">
        <f>SUM(M:M)</f>
        <v/>
      </c>
      <c r="C37" s="151" t="inlineStr">
        <is>
          <t>CFM</t>
        </is>
      </c>
    </row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7" customHeight="1"/>
  </sheetData>
  <mergeCells count="10">
    <mergeCell ref="B15:M15"/>
    <mergeCell ref="A1:M1"/>
    <mergeCell ref="A21:N21"/>
    <mergeCell ref="B31:M31"/>
    <mergeCell ref="B23:M23"/>
    <mergeCell ref="A29:N29"/>
    <mergeCell ref="P21:S22"/>
    <mergeCell ref="A5:N5"/>
    <mergeCell ref="A13:N13"/>
    <mergeCell ref="P5:T5"/>
  </mergeCells>
  <dataValidations count="2">
    <dataValidation sqref="A8 A16 A24 A32" showDropDown="0" showInputMessage="1" showErrorMessage="1" allowBlank="1" type="list">
      <formula1>$S$6:$T$6</formula1>
    </dataValidation>
    <dataValidation sqref="B9:L9 B17:L17 B25:L25 B33:L33" showDropDown="0" showInputMessage="1" showErrorMessage="1" allowBlank="1" type="list">
      <formula1>$Q$7:$Q$19</formula1>
    </dataValidation>
  </dataValidations>
  <pageMargins left="0.75" right="0.75" top="1" bottom="1" header="0.5" footer="0.5"/>
  <pageSetup orientation="landscape" scale="83"/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AA33"/>
  <sheetViews>
    <sheetView topLeftCell="H1" zoomScale="92" zoomScaleNormal="55" workbookViewId="0">
      <selection activeCell="D11" sqref="D11"/>
    </sheetView>
  </sheetViews>
  <sheetFormatPr baseColWidth="8" defaultRowHeight="12.5"/>
  <cols>
    <col width="19.7265625" bestFit="1" customWidth="1" min="1" max="1"/>
    <col width="10.7265625" bestFit="1" customWidth="1" min="2" max="3"/>
    <col width="11.08984375" bestFit="1" customWidth="1" min="4" max="10"/>
    <col width="12.08984375" bestFit="1" customWidth="1" min="11" max="17"/>
    <col width="8.81640625" customWidth="1" min="20" max="20"/>
    <col width="10.6328125" customWidth="1" min="21" max="21"/>
    <col width="10" customWidth="1" min="22" max="22"/>
    <col width="9.08984375" customWidth="1" min="23" max="25"/>
    <col hidden="1" width="18.7265625" customWidth="1" min="26" max="26"/>
    <col hidden="1" width="2" customWidth="1" min="27" max="27"/>
    <col width="9.08984375" customWidth="1" min="28" max="28"/>
  </cols>
  <sheetData>
    <row r="1" ht="17.5" customHeight="1">
      <c r="A1" s="125" t="inlineStr">
        <is>
          <t>PSP Supply CFM Worksheet for Evergreen VelGrid</t>
        </is>
      </c>
    </row>
    <row r="2" ht="13" customHeight="1">
      <c r="A2" s="151" t="inlineStr">
        <is>
          <t>Job Number =</t>
        </is>
      </c>
      <c r="B2" s="20" t="n"/>
      <c r="R2" s="70" t="inlineStr">
        <is>
          <t>rev. 2</t>
        </is>
      </c>
      <c r="S2" s="70" t="n"/>
    </row>
    <row r="3" ht="13" customHeight="1">
      <c r="A3" s="151" t="inlineStr">
        <is>
          <t>Job Name =</t>
        </is>
      </c>
      <c r="B3" s="20" t="n"/>
    </row>
    <row r="4" ht="13" customHeight="1" thickBot="1">
      <c r="B4" s="1" t="n"/>
    </row>
    <row r="5" ht="13.5" customHeight="1" thickBot="1">
      <c r="A5" s="155" t="inlineStr">
        <is>
          <t>PSP Number 1 Information</t>
        </is>
      </c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34" t="n"/>
      <c r="U5" s="156" t="inlineStr">
        <is>
          <t>PSP Information</t>
        </is>
      </c>
      <c r="V5" s="21" t="n"/>
      <c r="W5" s="21" t="n"/>
      <c r="X5" s="22" t="n"/>
      <c r="Z5" s="30" t="inlineStr">
        <is>
          <t>PSP Reference Data</t>
        </is>
      </c>
      <c r="AA5" s="22" t="n"/>
    </row>
    <row r="6" ht="13" customHeight="1">
      <c r="A6" s="30" t="inlineStr">
        <is>
          <t>PSP Length =</t>
        </is>
      </c>
      <c r="B6" s="102" t="n"/>
      <c r="C6" s="22" t="inlineStr">
        <is>
          <t>inches</t>
        </is>
      </c>
      <c r="D6" s="20" t="inlineStr">
        <is>
          <t>Notes:</t>
        </is>
      </c>
      <c r="S6" s="22" t="n"/>
      <c r="U6" s="31" t="inlineStr">
        <is>
          <t>Reference</t>
        </is>
      </c>
      <c r="V6" s="32" t="inlineStr">
        <is>
          <t>PSP Width</t>
        </is>
      </c>
      <c r="W6" s="32" t="inlineStr">
        <is>
          <t>Free Area</t>
        </is>
      </c>
      <c r="X6" s="33" t="inlineStr">
        <is>
          <t>K Factor</t>
        </is>
      </c>
      <c r="Z6" s="11" t="inlineStr">
        <is>
          <t>PSP Number 1</t>
        </is>
      </c>
      <c r="AA6" s="26" t="n"/>
    </row>
    <row r="7" ht="13.5" customHeight="1" thickBot="1">
      <c r="A7" s="17" t="inlineStr">
        <is>
          <t>PSP Width =</t>
        </is>
      </c>
      <c r="B7" s="102" t="n"/>
      <c r="C7" s="10" t="inlineStr">
        <is>
          <t>inches</t>
        </is>
      </c>
      <c r="D7" s="29" t="n"/>
      <c r="S7" s="10" t="n"/>
      <c r="U7" s="12" t="n">
        <v>1</v>
      </c>
      <c r="V7" s="3" t="n">
        <v>0</v>
      </c>
      <c r="W7" s="3" t="n">
        <v>0</v>
      </c>
      <c r="X7" s="6" t="n">
        <v>0</v>
      </c>
      <c r="Z7" s="7" t="inlineStr">
        <is>
          <t>Combo Box Result</t>
        </is>
      </c>
      <c r="AA7" s="24" t="n">
        <v>6</v>
      </c>
    </row>
    <row r="8" ht="13.5" customHeight="1" thickBot="1">
      <c r="A8" s="35" t="inlineStr">
        <is>
          <t>Number of Blanks =</t>
        </is>
      </c>
      <c r="B8" s="102" t="n"/>
      <c r="C8" s="36" t="n"/>
      <c r="D8" s="29" t="n"/>
      <c r="S8" s="36" t="n"/>
      <c r="U8" s="12" t="n">
        <v>2</v>
      </c>
      <c r="V8" s="3" t="n">
        <v>6</v>
      </c>
      <c r="W8" s="3" t="n">
        <v>0.5</v>
      </c>
      <c r="X8" s="6" t="n">
        <v>0.88</v>
      </c>
      <c r="Z8" s="11" t="inlineStr">
        <is>
          <t>PSP Number 2</t>
        </is>
      </c>
      <c r="AA8" s="26" t="n"/>
    </row>
    <row r="9" ht="13.5" customHeight="1" thickBot="1">
      <c r="A9" s="14" t="n"/>
      <c r="B9" s="40" t="inlineStr">
        <is>
          <t>Reading #1</t>
        </is>
      </c>
      <c r="C9" s="145" t="inlineStr">
        <is>
          <t>Reading #2</t>
        </is>
      </c>
      <c r="D9" s="145" t="inlineStr">
        <is>
          <t>Reading #3</t>
        </is>
      </c>
      <c r="E9" s="145" t="inlineStr">
        <is>
          <t>Reading #4</t>
        </is>
      </c>
      <c r="F9" s="145" t="inlineStr">
        <is>
          <t>Reading #5</t>
        </is>
      </c>
      <c r="G9" s="145" t="inlineStr">
        <is>
          <t>Reading #6</t>
        </is>
      </c>
      <c r="H9" s="145" t="inlineStr">
        <is>
          <t>Reading #7</t>
        </is>
      </c>
      <c r="I9" s="145" t="inlineStr">
        <is>
          <t>Reading #8</t>
        </is>
      </c>
      <c r="J9" s="145" t="inlineStr">
        <is>
          <t>Reading #9</t>
        </is>
      </c>
      <c r="K9" s="145" t="inlineStr">
        <is>
          <t>Reading #10</t>
        </is>
      </c>
      <c r="L9" s="145" t="inlineStr">
        <is>
          <t>Reading #11</t>
        </is>
      </c>
      <c r="M9" s="145" t="inlineStr">
        <is>
          <t>Reading #12</t>
        </is>
      </c>
      <c r="N9" s="145" t="inlineStr">
        <is>
          <t>Reading #13</t>
        </is>
      </c>
      <c r="O9" s="145" t="inlineStr">
        <is>
          <t>Reading #14</t>
        </is>
      </c>
      <c r="P9" s="145" t="inlineStr">
        <is>
          <t>Reading #15</t>
        </is>
      </c>
      <c r="Q9" s="145" t="inlineStr">
        <is>
          <t>Reading #16</t>
        </is>
      </c>
      <c r="R9" s="86" t="inlineStr">
        <is>
          <t>CFM</t>
        </is>
      </c>
      <c r="S9" s="84" t="inlineStr">
        <is>
          <t>CFM/ft</t>
        </is>
      </c>
      <c r="U9" s="12" t="n">
        <v>3</v>
      </c>
      <c r="V9" s="3" t="n">
        <v>9</v>
      </c>
      <c r="W9" s="3" t="n">
        <v>0.75</v>
      </c>
      <c r="X9" s="6" t="n">
        <v>0.88</v>
      </c>
      <c r="Z9" s="7" t="inlineStr">
        <is>
          <t>Combo Box Result</t>
        </is>
      </c>
      <c r="AA9" s="24" t="n">
        <v>6</v>
      </c>
    </row>
    <row r="10" ht="13.5" customHeight="1" thickBot="1">
      <c r="A10" s="19" t="inlineStr">
        <is>
          <t>Velocity</t>
        </is>
      </c>
      <c r="B10" s="99" t="n"/>
      <c r="C10" s="100" t="n"/>
      <c r="D10" s="100" t="n"/>
      <c r="E10" s="100" t="n"/>
      <c r="F10" s="100" t="n"/>
      <c r="G10" s="101" t="n"/>
      <c r="H10" s="101" t="n"/>
      <c r="I10" s="101" t="n"/>
      <c r="J10" s="101" t="n"/>
      <c r="K10" s="100" t="n"/>
      <c r="L10" s="100" t="n"/>
      <c r="M10" s="101" t="n"/>
      <c r="N10" s="101" t="n"/>
      <c r="O10" s="101" t="n"/>
      <c r="P10" s="101" t="n"/>
      <c r="Q10" s="100" t="n"/>
      <c r="R10" s="87">
        <f>IF(OR(B6="",B7="",COUNT(B10:Q10)=0),0,AVERAGE(B10:Q10)*(B6-2-N(B8)*2)*VLOOKUP(B7,$V$7:$X$16,1,FALSE)*VLOOKUP(B7,$V$7:$X$16,3,FALSE)/144)</f>
        <v/>
      </c>
      <c r="S10" s="85">
        <f>IF(OR(B6="",R10=0),"",R10/(B6/12))</f>
        <v/>
      </c>
      <c r="U10" s="12" t="n">
        <v>4</v>
      </c>
      <c r="V10" s="3" t="n">
        <v>10</v>
      </c>
      <c r="W10" s="3" t="n">
        <v>0.833</v>
      </c>
      <c r="X10" s="6" t="n">
        <v>0.88</v>
      </c>
      <c r="Z10" s="11" t="inlineStr">
        <is>
          <t>PSP Number 3</t>
        </is>
      </c>
      <c r="AA10" s="26" t="n"/>
    </row>
    <row r="11" ht="13" customHeight="1" thickBot="1">
      <c r="U11" s="12" t="n">
        <v>5</v>
      </c>
      <c r="V11" s="3" t="n">
        <v>12</v>
      </c>
      <c r="W11" s="3" t="n">
        <v>1</v>
      </c>
      <c r="X11" s="6" t="n">
        <v>0.88</v>
      </c>
      <c r="Z11" s="7" t="inlineStr">
        <is>
          <t>Combo Box Result</t>
        </is>
      </c>
      <c r="AA11" s="24" t="n">
        <v>6</v>
      </c>
    </row>
    <row r="12" ht="13.5" customHeight="1" thickBot="1">
      <c r="A12" s="155" t="inlineStr">
        <is>
          <t>PSP Number 2 Information</t>
        </is>
      </c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34" t="n"/>
      <c r="U12" s="12" t="n">
        <v>6</v>
      </c>
      <c r="V12" s="3" t="n">
        <v>14</v>
      </c>
      <c r="W12" s="3" t="n">
        <v>1.167</v>
      </c>
      <c r="X12" s="49" t="n">
        <v>0.95</v>
      </c>
      <c r="Z12" s="11" t="inlineStr">
        <is>
          <t>PSP Number 4</t>
        </is>
      </c>
      <c r="AA12" s="26" t="n"/>
    </row>
    <row r="13" ht="13.5" customHeight="1" thickBot="1">
      <c r="A13" s="30" t="inlineStr">
        <is>
          <t>PSP Length =</t>
        </is>
      </c>
      <c r="B13" s="102" t="n"/>
      <c r="C13" s="22" t="inlineStr">
        <is>
          <t>inches</t>
        </is>
      </c>
      <c r="D13" s="20" t="inlineStr">
        <is>
          <t>Notes:</t>
        </is>
      </c>
      <c r="R13" s="21" t="n"/>
      <c r="S13" s="22" t="n"/>
      <c r="U13" s="12" t="n">
        <v>7</v>
      </c>
      <c r="V13" s="3" t="n">
        <v>16</v>
      </c>
      <c r="W13" s="3" t="n">
        <v>1.333</v>
      </c>
      <c r="X13" s="49" t="n">
        <v>0.95</v>
      </c>
      <c r="Z13" s="7" t="inlineStr">
        <is>
          <t>Combo Box Result</t>
        </is>
      </c>
      <c r="AA13" s="24" t="n">
        <v>6</v>
      </c>
    </row>
    <row r="14" ht="13" customHeight="1">
      <c r="A14" s="17" t="inlineStr">
        <is>
          <t>PSP Width =</t>
        </is>
      </c>
      <c r="B14" s="102" t="n"/>
      <c r="C14" s="10" t="inlineStr">
        <is>
          <t>inches</t>
        </is>
      </c>
      <c r="D14" s="29" t="n"/>
      <c r="S14" s="10" t="n"/>
      <c r="U14" s="47" t="n">
        <v>8</v>
      </c>
      <c r="V14" s="48" t="n">
        <v>18</v>
      </c>
      <c r="W14" s="48" t="n">
        <v>1.5</v>
      </c>
      <c r="X14" s="49" t="n">
        <v>0.95</v>
      </c>
    </row>
    <row r="15" ht="13.5" customHeight="1" thickBot="1">
      <c r="A15" s="35" t="inlineStr">
        <is>
          <t>Number of Blanks =</t>
        </is>
      </c>
      <c r="B15" s="102" t="n"/>
      <c r="C15" s="36" t="n"/>
      <c r="D15" s="29" t="n"/>
      <c r="R15" s="46" t="n"/>
      <c r="S15" s="36" t="n"/>
      <c r="U15" s="47" t="n">
        <v>9</v>
      </c>
      <c r="V15" s="48" t="n">
        <v>20</v>
      </c>
      <c r="W15" s="48" t="n">
        <v>1.667</v>
      </c>
      <c r="X15" s="49" t="n">
        <v>0.95</v>
      </c>
    </row>
    <row r="16" ht="13.5" customHeight="1" thickBot="1">
      <c r="A16" s="14" t="n"/>
      <c r="B16" s="40" t="inlineStr">
        <is>
          <t>Reading #1</t>
        </is>
      </c>
      <c r="C16" s="145" t="inlineStr">
        <is>
          <t>Reading #2</t>
        </is>
      </c>
      <c r="D16" s="145" t="inlineStr">
        <is>
          <t>Reading #3</t>
        </is>
      </c>
      <c r="E16" s="145" t="inlineStr">
        <is>
          <t>Reading #4</t>
        </is>
      </c>
      <c r="F16" s="145" t="inlineStr">
        <is>
          <t>Reading #5</t>
        </is>
      </c>
      <c r="G16" s="145" t="inlineStr">
        <is>
          <t>Reading #6</t>
        </is>
      </c>
      <c r="H16" s="145" t="inlineStr">
        <is>
          <t>Reading #7</t>
        </is>
      </c>
      <c r="I16" s="145" t="inlineStr">
        <is>
          <t>Reading #8</t>
        </is>
      </c>
      <c r="J16" s="145" t="inlineStr">
        <is>
          <t>Reading #9</t>
        </is>
      </c>
      <c r="K16" s="145" t="inlineStr">
        <is>
          <t>Reading #10</t>
        </is>
      </c>
      <c r="L16" s="145" t="inlineStr">
        <is>
          <t>Reading #11</t>
        </is>
      </c>
      <c r="M16" s="145" t="inlineStr">
        <is>
          <t>Reading #12</t>
        </is>
      </c>
      <c r="N16" s="145" t="inlineStr">
        <is>
          <t>Reading #13</t>
        </is>
      </c>
      <c r="O16" s="145" t="inlineStr">
        <is>
          <t>Reading #14</t>
        </is>
      </c>
      <c r="P16" s="145" t="inlineStr">
        <is>
          <t>Reading #15</t>
        </is>
      </c>
      <c r="Q16" s="145" t="inlineStr">
        <is>
          <t>Reading #16</t>
        </is>
      </c>
      <c r="R16" s="86" t="inlineStr">
        <is>
          <t>CFM</t>
        </is>
      </c>
      <c r="S16" s="84" t="inlineStr">
        <is>
          <t>CFM/ft</t>
        </is>
      </c>
      <c r="U16" s="13" t="n">
        <v>10</v>
      </c>
      <c r="V16" s="8" t="n">
        <v>24</v>
      </c>
      <c r="W16" s="8" t="n">
        <v>2</v>
      </c>
      <c r="X16" s="9" t="n">
        <v>0.95</v>
      </c>
    </row>
    <row r="17" ht="13.5" customHeight="1" thickBot="1">
      <c r="A17" s="19" t="inlineStr">
        <is>
          <t>Velocity</t>
        </is>
      </c>
      <c r="B17" s="99" t="n"/>
      <c r="C17" s="100" t="n"/>
      <c r="D17" s="100" t="n"/>
      <c r="E17" s="100" t="n"/>
      <c r="F17" s="100" t="n"/>
      <c r="G17" s="101" t="n"/>
      <c r="H17" s="101" t="n"/>
      <c r="I17" s="101" t="n"/>
      <c r="J17" s="101" t="n"/>
      <c r="K17" s="100" t="n"/>
      <c r="L17" s="100" t="n"/>
      <c r="M17" s="101" t="n"/>
      <c r="N17" s="101" t="n"/>
      <c r="O17" s="101" t="n"/>
      <c r="P17" s="101" t="n"/>
      <c r="Q17" s="100" t="n"/>
      <c r="R17" s="87">
        <f>IF(OR(B13="",B14="",COUNT(B17:Q17)=0),0,AVERAGE(B17:Q17)*(B13-2-N(B15)*2)*VLOOKUP(B14,$V$7:$X$16,1,FALSE)*VLOOKUP(B14,$V$7:$X$16,3,FALSE)/144)</f>
        <v/>
      </c>
      <c r="S17" s="85">
        <f>IF(OR(B13="",R17=0),"",R17/(B13/12))</f>
        <v/>
      </c>
    </row>
    <row r="18" ht="13" customHeight="1" thickBot="1">
      <c r="U18" s="129" t="inlineStr">
        <is>
          <t>*NOTE:  You must use the longer standoffs when taking readings with the Evergreen Vel-Grid.</t>
        </is>
      </c>
    </row>
    <row r="19" ht="13.5" customHeight="1" thickBot="1">
      <c r="A19" s="155" t="inlineStr">
        <is>
          <t>PSP Number 3 Information</t>
        </is>
      </c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34" t="n"/>
    </row>
    <row r="20" ht="13" customHeight="1">
      <c r="A20" s="30" t="inlineStr">
        <is>
          <t>PSP Length =</t>
        </is>
      </c>
      <c r="B20" s="102" t="n"/>
      <c r="C20" s="22" t="inlineStr">
        <is>
          <t>inches</t>
        </is>
      </c>
      <c r="D20" s="20" t="inlineStr">
        <is>
          <t>Notes:</t>
        </is>
      </c>
      <c r="S20" s="22" t="n"/>
    </row>
    <row r="21" ht="13" customHeight="1">
      <c r="A21" s="17" t="inlineStr">
        <is>
          <t>PSP Width =</t>
        </is>
      </c>
      <c r="B21" s="102" t="n"/>
      <c r="C21" s="10" t="inlineStr">
        <is>
          <t>inches</t>
        </is>
      </c>
      <c r="D21" s="29" t="n"/>
      <c r="S21" s="10" t="n"/>
    </row>
    <row r="22" ht="13.5" customHeight="1" thickBot="1">
      <c r="A22" s="35" t="inlineStr">
        <is>
          <t>Number of Blanks =</t>
        </is>
      </c>
      <c r="B22" s="102" t="n"/>
      <c r="C22" s="36" t="n"/>
      <c r="D22" s="29" t="n"/>
      <c r="S22" s="36" t="n"/>
    </row>
    <row r="23" ht="13" customHeight="1">
      <c r="A23" s="14" t="n"/>
      <c r="B23" s="40" t="inlineStr">
        <is>
          <t>Reading #1</t>
        </is>
      </c>
      <c r="C23" s="145" t="inlineStr">
        <is>
          <t>Reading #2</t>
        </is>
      </c>
      <c r="D23" s="145" t="inlineStr">
        <is>
          <t>Reading #3</t>
        </is>
      </c>
      <c r="E23" s="145" t="inlineStr">
        <is>
          <t>Reading #4</t>
        </is>
      </c>
      <c r="F23" s="145" t="inlineStr">
        <is>
          <t>Reading #5</t>
        </is>
      </c>
      <c r="G23" s="145" t="inlineStr">
        <is>
          <t>Reading #6</t>
        </is>
      </c>
      <c r="H23" s="145" t="inlineStr">
        <is>
          <t>Reading #7</t>
        </is>
      </c>
      <c r="I23" s="145" t="inlineStr">
        <is>
          <t>Reading #8</t>
        </is>
      </c>
      <c r="J23" s="145" t="inlineStr">
        <is>
          <t>Reading #9</t>
        </is>
      </c>
      <c r="K23" s="145" t="inlineStr">
        <is>
          <t>Reading #10</t>
        </is>
      </c>
      <c r="L23" s="145" t="inlineStr">
        <is>
          <t>Reading #11</t>
        </is>
      </c>
      <c r="M23" s="145" t="inlineStr">
        <is>
          <t>Reading #12</t>
        </is>
      </c>
      <c r="N23" s="145" t="inlineStr">
        <is>
          <t>Reading #13</t>
        </is>
      </c>
      <c r="O23" s="145" t="inlineStr">
        <is>
          <t>Reading #14</t>
        </is>
      </c>
      <c r="P23" s="145" t="inlineStr">
        <is>
          <t>Reading #15</t>
        </is>
      </c>
      <c r="Q23" s="145" t="inlineStr">
        <is>
          <t>Reading #16</t>
        </is>
      </c>
      <c r="R23" s="86" t="inlineStr">
        <is>
          <t>CFM</t>
        </is>
      </c>
      <c r="S23" s="84" t="inlineStr">
        <is>
          <t>CFM/ft</t>
        </is>
      </c>
    </row>
    <row r="24" ht="13.5" customHeight="1" thickBot="1">
      <c r="A24" s="19" t="inlineStr">
        <is>
          <t>Velocity</t>
        </is>
      </c>
      <c r="B24" s="99" t="n"/>
      <c r="C24" s="100" t="n"/>
      <c r="D24" s="100" t="n"/>
      <c r="E24" s="100" t="n"/>
      <c r="F24" s="100" t="n"/>
      <c r="G24" s="101" t="n"/>
      <c r="H24" s="101" t="n"/>
      <c r="I24" s="101" t="n"/>
      <c r="J24" s="101" t="n"/>
      <c r="K24" s="100" t="n"/>
      <c r="L24" s="100" t="n"/>
      <c r="M24" s="101" t="n"/>
      <c r="N24" s="101" t="n"/>
      <c r="O24" s="101" t="n"/>
      <c r="P24" s="101" t="n"/>
      <c r="Q24" s="100" t="n"/>
      <c r="R24" s="87">
        <f>IF(OR(B20="",B21="",COUNT(B24:Q24)=0),0,AVERAGE(B24:Q24)*(B20-2-N(B22)*2)*VLOOKUP(B21,$V$7:$X$16,1,FALSE)*VLOOKUP(B21,$V$7:$X$16,3,FALSE)/144)</f>
        <v/>
      </c>
      <c r="S24" s="85">
        <f>IF(OR(B20="",R24=0),"",R24/(B20/12))</f>
        <v/>
      </c>
    </row>
    <row r="25" ht="13" customHeight="1" thickBot="1"/>
    <row r="26" ht="13.5" customHeight="1" thickBot="1">
      <c r="A26" s="155" t="inlineStr">
        <is>
          <t>PSP Number 4 Information</t>
        </is>
      </c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34" t="n"/>
    </row>
    <row r="27" ht="13" customHeight="1">
      <c r="A27" s="30" t="inlineStr">
        <is>
          <t>PSP Length =</t>
        </is>
      </c>
      <c r="B27" s="102" t="n"/>
      <c r="C27" s="22" t="inlineStr">
        <is>
          <t>inches</t>
        </is>
      </c>
      <c r="D27" s="20" t="inlineStr">
        <is>
          <t>Notes:</t>
        </is>
      </c>
      <c r="S27" s="22" t="n"/>
    </row>
    <row r="28" ht="13" customHeight="1">
      <c r="A28" s="17" t="inlineStr">
        <is>
          <t>PSP Width =</t>
        </is>
      </c>
      <c r="B28" s="102" t="n"/>
      <c r="C28" s="10" t="inlineStr">
        <is>
          <t>inches</t>
        </is>
      </c>
      <c r="D28" s="29" t="n"/>
      <c r="S28" s="10" t="n"/>
    </row>
    <row r="29" ht="13.5" customHeight="1" thickBot="1">
      <c r="A29" s="35" t="inlineStr">
        <is>
          <t>Number of Blanks =</t>
        </is>
      </c>
      <c r="B29" s="102" t="n"/>
      <c r="C29" s="36" t="n"/>
      <c r="D29" s="29" t="n"/>
      <c r="S29" s="36" t="n"/>
    </row>
    <row r="30" ht="13" customHeight="1">
      <c r="A30" s="14" t="n"/>
      <c r="B30" s="40" t="inlineStr">
        <is>
          <t>Reading #1</t>
        </is>
      </c>
      <c r="C30" s="145" t="inlineStr">
        <is>
          <t>Reading #2</t>
        </is>
      </c>
      <c r="D30" s="145" t="inlineStr">
        <is>
          <t>Reading #3</t>
        </is>
      </c>
      <c r="E30" s="145" t="inlineStr">
        <is>
          <t>Reading #4</t>
        </is>
      </c>
      <c r="F30" s="145" t="inlineStr">
        <is>
          <t>Reading #5</t>
        </is>
      </c>
      <c r="G30" s="145" t="inlineStr">
        <is>
          <t>Reading #6</t>
        </is>
      </c>
      <c r="H30" s="145" t="inlineStr">
        <is>
          <t>Reading #7</t>
        </is>
      </c>
      <c r="I30" s="145" t="inlineStr">
        <is>
          <t>Reading #8</t>
        </is>
      </c>
      <c r="J30" s="145" t="inlineStr">
        <is>
          <t>Reading #9</t>
        </is>
      </c>
      <c r="K30" s="145" t="inlineStr">
        <is>
          <t>Reading #10</t>
        </is>
      </c>
      <c r="L30" s="145" t="inlineStr">
        <is>
          <t>Reading #11</t>
        </is>
      </c>
      <c r="M30" s="145" t="inlineStr">
        <is>
          <t>Reading #12</t>
        </is>
      </c>
      <c r="N30" s="145" t="inlineStr">
        <is>
          <t>Reading #13</t>
        </is>
      </c>
      <c r="O30" s="145" t="inlineStr">
        <is>
          <t>Reading #14</t>
        </is>
      </c>
      <c r="P30" s="145" t="inlineStr">
        <is>
          <t>Reading #15</t>
        </is>
      </c>
      <c r="Q30" s="145" t="inlineStr">
        <is>
          <t>Reading #16</t>
        </is>
      </c>
      <c r="R30" s="86" t="inlineStr">
        <is>
          <t>CFM</t>
        </is>
      </c>
      <c r="S30" s="84" t="inlineStr">
        <is>
          <t>CFM/ft</t>
        </is>
      </c>
    </row>
    <row r="31" ht="13.5" customHeight="1" thickBot="1">
      <c r="A31" s="19" t="inlineStr">
        <is>
          <t>Velocity</t>
        </is>
      </c>
      <c r="B31" s="99" t="n"/>
      <c r="C31" s="100" t="n"/>
      <c r="D31" s="100" t="n"/>
      <c r="E31" s="100" t="n"/>
      <c r="F31" s="100" t="n"/>
      <c r="G31" s="101" t="n"/>
      <c r="H31" s="101" t="n"/>
      <c r="I31" s="101" t="n"/>
      <c r="J31" s="101" t="n"/>
      <c r="K31" s="100" t="n"/>
      <c r="L31" s="100" t="n"/>
      <c r="M31" s="101" t="n"/>
      <c r="N31" s="101" t="n"/>
      <c r="O31" s="101" t="n"/>
      <c r="P31" s="101" t="n"/>
      <c r="Q31" s="100" t="n"/>
      <c r="R31" s="87">
        <f>IF(OR(B27="",B28="",COUNT(B31:Q31)=0),0,AVERAGE(B31:Q31)*(B27-2-N(B29)*2)*VLOOKUP(B28,$V$7:$X$16,1,FALSE)*VLOOKUP(B28,$V$7:$X$16,3,FALSE)/144)</f>
        <v/>
      </c>
      <c r="S31" s="85">
        <f>IF(OR(B27="",R31=0),"",R31/(B27/12))</f>
        <v/>
      </c>
    </row>
    <row r="33" ht="13" customHeight="1">
      <c r="A33" s="151" t="inlineStr">
        <is>
          <t>Total Supply CFM's =</t>
        </is>
      </c>
      <c r="B33" s="140">
        <f>SUM(R:R)</f>
        <v/>
      </c>
      <c r="C33" s="151" t="inlineStr">
        <is>
          <t>CFM</t>
        </is>
      </c>
      <c r="D33" s="151" t="n"/>
      <c r="E33" s="151" t="n"/>
      <c r="F33" s="151" t="n"/>
      <c r="G33" s="151" t="n"/>
      <c r="H33" s="151" t="n"/>
      <c r="I33" s="151" t="n"/>
      <c r="J33" s="151" t="n"/>
    </row>
  </sheetData>
  <mergeCells count="7">
    <mergeCell ref="A19:S19"/>
    <mergeCell ref="U18:X19"/>
    <mergeCell ref="A5:S5"/>
    <mergeCell ref="A12:S12"/>
    <mergeCell ref="U5:X5"/>
    <mergeCell ref="A26:S26"/>
    <mergeCell ref="A1:Q1"/>
  </mergeCells>
  <dataValidations count="1">
    <dataValidation sqref="B7 B14 B21 B28" showDropDown="0" showInputMessage="1" showErrorMessage="1" allowBlank="1" type="list">
      <formula1>$V$7:$V$16</formula1>
    </dataValidation>
  </dataValidations>
  <pageMargins left="0.75" right="0.75" top="1" bottom="1" header="0.5" footer="0.5"/>
  <pageSetup orientation="landscape" scale="47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topLeftCell="C1" zoomScale="115" zoomScaleNormal="115" workbookViewId="0">
      <selection activeCell="P19" sqref="P19:S20"/>
    </sheetView>
  </sheetViews>
  <sheetFormatPr baseColWidth="8" defaultRowHeight="12.5"/>
  <cols>
    <col width="20.7265625" bestFit="1" customWidth="1" min="1" max="1"/>
    <col width="10.7265625" customWidth="1" style="1" min="2" max="2"/>
    <col width="10.7265625" customWidth="1" min="3" max="13"/>
    <col width="10.6328125" customWidth="1" min="14" max="14"/>
    <col width="8.81640625" customWidth="1" min="15" max="15"/>
    <col width="9.36328125" customWidth="1" min="16" max="16"/>
    <col width="9.08984375" customWidth="1" min="17" max="17"/>
    <col width="9.26953125" customWidth="1" min="18" max="18"/>
    <col width="8" customWidth="1" min="19" max="19"/>
    <col width="9.08984375" customWidth="1" min="20" max="20"/>
    <col width="8.81640625" customWidth="1" min="21" max="21"/>
  </cols>
  <sheetData>
    <row r="1" ht="17.5" customHeight="1">
      <c r="A1" s="125" t="inlineStr">
        <is>
          <t>Supply Fan Filter CFM Worksheet for Evergreen VelGrid</t>
        </is>
      </c>
    </row>
    <row r="2" ht="17" customHeight="1">
      <c r="A2" s="151" t="inlineStr">
        <is>
          <t>Job Number =</t>
        </is>
      </c>
      <c r="B2" s="20" t="n"/>
      <c r="N2" s="70" t="inlineStr">
        <is>
          <t>rev. 1</t>
        </is>
      </c>
    </row>
    <row r="3" ht="17" customHeight="1">
      <c r="A3" s="151" t="inlineStr">
        <is>
          <t>Job Name =</t>
        </is>
      </c>
      <c r="B3" s="20" t="n"/>
    </row>
    <row r="4" ht="13" customHeight="1" thickBot="1"/>
    <row r="5" ht="13.5" customHeight="1" thickBot="1">
      <c r="A5" s="158" t="inlineStr">
        <is>
          <t>Supply Fan 1 Information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2" t="n"/>
      <c r="P5" s="156" t="inlineStr">
        <is>
          <t>Filter Information</t>
        </is>
      </c>
      <c r="Q5" s="21" t="n"/>
      <c r="R5" s="21" t="n"/>
      <c r="S5" s="22" t="n"/>
    </row>
    <row r="6" ht="13.5" customHeight="1" thickBot="1">
      <c r="A6" s="42" t="inlineStr">
        <is>
          <t>Model =</t>
        </is>
      </c>
      <c r="B6" s="43" t="n"/>
      <c r="C6" s="37" t="inlineStr">
        <is>
          <t>Notes:</t>
        </is>
      </c>
      <c r="D6" s="44" t="n"/>
      <c r="E6" s="44" t="n"/>
      <c r="F6" s="44" t="n"/>
      <c r="G6" s="44" t="n"/>
      <c r="H6" s="44" t="n"/>
      <c r="I6" s="44" t="n"/>
      <c r="J6" s="44" t="n"/>
      <c r="K6" s="44" t="n"/>
      <c r="L6" s="44" t="n"/>
      <c r="M6" s="44" t="n"/>
      <c r="N6" s="34" t="n"/>
      <c r="P6" s="31" t="inlineStr">
        <is>
          <t>Reference</t>
        </is>
      </c>
      <c r="Q6" s="32" t="inlineStr">
        <is>
          <t>Filter Size</t>
        </is>
      </c>
      <c r="R6" s="32" t="inlineStr">
        <is>
          <t>Free Area</t>
        </is>
      </c>
      <c r="S6" s="33" t="inlineStr">
        <is>
          <t>K Factor</t>
        </is>
      </c>
    </row>
    <row r="7" ht="13.5" customHeight="1" thickBot="1">
      <c r="A7" s="39" t="n"/>
      <c r="B7" s="103" t="inlineStr">
        <is>
          <t>Filter #1</t>
        </is>
      </c>
      <c r="C7" s="104" t="inlineStr">
        <is>
          <t>Filter #2</t>
        </is>
      </c>
      <c r="D7" s="104" t="inlineStr">
        <is>
          <t>Filter #3</t>
        </is>
      </c>
      <c r="E7" s="104" t="inlineStr">
        <is>
          <t>Filter #4</t>
        </is>
      </c>
      <c r="F7" s="104" t="inlineStr">
        <is>
          <t>Filter #5</t>
        </is>
      </c>
      <c r="G7" s="104" t="inlineStr">
        <is>
          <t>Filter #6</t>
        </is>
      </c>
      <c r="H7" s="104" t="inlineStr">
        <is>
          <t>Filter #7</t>
        </is>
      </c>
      <c r="I7" s="104" t="inlineStr">
        <is>
          <t>Filter #8</t>
        </is>
      </c>
      <c r="J7" s="104" t="inlineStr">
        <is>
          <t>Filter #9</t>
        </is>
      </c>
      <c r="K7" s="104" t="inlineStr">
        <is>
          <t>Filter #10</t>
        </is>
      </c>
      <c r="L7" s="104" t="inlineStr">
        <is>
          <t>Filter #11</t>
        </is>
      </c>
      <c r="M7" s="104" t="inlineStr">
        <is>
          <t>Filter #12</t>
        </is>
      </c>
      <c r="N7" s="41" t="inlineStr">
        <is>
          <t>Total CFM</t>
        </is>
      </c>
      <c r="P7" s="12" t="n">
        <v>1</v>
      </c>
      <c r="Q7" s="3" t="inlineStr">
        <is>
          <t>No Filter</t>
        </is>
      </c>
      <c r="R7" s="3" t="n">
        <v>0</v>
      </c>
      <c r="S7" s="6" t="n">
        <v>0</v>
      </c>
    </row>
    <row r="8" ht="13.5" customHeight="1" thickBot="1">
      <c r="A8" s="18" t="inlineStr">
        <is>
          <t>Filter Size</t>
        </is>
      </c>
      <c r="B8" s="111" t="inlineStr">
        <is>
          <t>No Filter</t>
        </is>
      </c>
      <c r="C8" s="111" t="inlineStr">
        <is>
          <t>No Filter</t>
        </is>
      </c>
      <c r="D8" s="111" t="inlineStr">
        <is>
          <t>No Filter</t>
        </is>
      </c>
      <c r="E8" s="111" t="inlineStr">
        <is>
          <t>No Filter</t>
        </is>
      </c>
      <c r="F8" s="111" t="inlineStr">
        <is>
          <t>No Filter</t>
        </is>
      </c>
      <c r="G8" s="111" t="inlineStr">
        <is>
          <t>No Filter</t>
        </is>
      </c>
      <c r="H8" s="111" t="inlineStr">
        <is>
          <t>No Filter</t>
        </is>
      </c>
      <c r="I8" s="111" t="inlineStr">
        <is>
          <t>No Filter</t>
        </is>
      </c>
      <c r="J8" s="111" t="inlineStr">
        <is>
          <t>No Filter</t>
        </is>
      </c>
      <c r="K8" s="111" t="inlineStr">
        <is>
          <t>No Filter</t>
        </is>
      </c>
      <c r="L8" s="111" t="inlineStr">
        <is>
          <t>No Filter</t>
        </is>
      </c>
      <c r="M8" s="112" t="inlineStr">
        <is>
          <t>No Filter</t>
        </is>
      </c>
      <c r="N8" s="105" t="n"/>
      <c r="P8" s="54" t="n">
        <v>2</v>
      </c>
      <c r="Q8" s="3" t="inlineStr">
        <is>
          <t>12" x 12"</t>
        </is>
      </c>
      <c r="R8" s="3" t="n">
        <v>0.6899999999999999</v>
      </c>
      <c r="S8" s="6" t="n">
        <v>1.35</v>
      </c>
    </row>
    <row r="9" ht="17" customHeight="1">
      <c r="A9" s="18" t="inlineStr">
        <is>
          <t>Velocity</t>
        </is>
      </c>
      <c r="B9" s="108" t="n"/>
      <c r="C9" s="109" t="n"/>
      <c r="D9" s="109" t="n"/>
      <c r="E9" s="109" t="n"/>
      <c r="F9" s="109" t="n"/>
      <c r="G9" s="109" t="n"/>
      <c r="H9" s="109" t="n"/>
      <c r="I9" s="109" t="n"/>
      <c r="J9" s="109" t="n"/>
      <c r="K9" s="109" t="n"/>
      <c r="L9" s="109" t="n"/>
      <c r="M9" s="110" t="n"/>
      <c r="N9" s="6" t="n"/>
      <c r="P9" s="54" t="n">
        <v>3</v>
      </c>
      <c r="Q9" s="3" t="inlineStr">
        <is>
          <t>12" x 16"</t>
        </is>
      </c>
      <c r="R9" s="3" t="n">
        <v>0.97</v>
      </c>
      <c r="S9" s="6" t="n">
        <v>1.35</v>
      </c>
    </row>
    <row r="10" ht="13.5" customHeight="1" thickBot="1">
      <c r="A10" s="19" t="inlineStr">
        <is>
          <t>CFM</t>
        </is>
      </c>
      <c r="B10" s="137">
        <f>VLOOKUP(B8,$Q$7:$S$17,2,FALSE)*N(B9)*VLOOKUP(B8,$Q$7:$S$17,3,FALSE)</f>
        <v/>
      </c>
      <c r="C10" s="137">
        <f>VLOOKUP(C8,$Q$7:$S$17,2,FALSE)*N(C9)*VLOOKUP(C8,$Q$7:$S$17,3,FALSE)</f>
        <v/>
      </c>
      <c r="D10" s="137">
        <f>VLOOKUP(D8,$Q$7:$S$17,2,FALSE)*N(D9)*VLOOKUP(D8,$Q$7:$S$17,3,FALSE)</f>
        <v/>
      </c>
      <c r="E10" s="137">
        <f>VLOOKUP(E8,$Q$7:$S$17,2,FALSE)*N(E9)*VLOOKUP(E8,$Q$7:$S$17,3,FALSE)</f>
        <v/>
      </c>
      <c r="F10" s="137">
        <f>VLOOKUP(F8,$Q$7:$S$17,2,FALSE)*N(F9)*VLOOKUP(F8,$Q$7:$S$17,3,FALSE)</f>
        <v/>
      </c>
      <c r="G10" s="137">
        <f>VLOOKUP(G8,$Q$7:$S$17,2,FALSE)*N(G9)*VLOOKUP(G8,$Q$7:$S$17,3,FALSE)</f>
        <v/>
      </c>
      <c r="H10" s="137">
        <f>VLOOKUP(H8,$Q$7:$S$17,2,FALSE)*N(H9)*VLOOKUP(H8,$Q$7:$S$17,3,FALSE)</f>
        <v/>
      </c>
      <c r="I10" s="137">
        <f>VLOOKUP(I8,$Q$7:$S$17,2,FALSE)*N(I9)*VLOOKUP(I8,$Q$7:$S$17,3,FALSE)</f>
        <v/>
      </c>
      <c r="J10" s="137">
        <f>VLOOKUP(J8,$Q$7:$S$17,2,FALSE)*N(J9)*VLOOKUP(J8,$Q$7:$S$17,3,FALSE)</f>
        <v/>
      </c>
      <c r="K10" s="137">
        <f>VLOOKUP(K8,$Q$7:$S$17,2,FALSE)*N(K9)*VLOOKUP(K8,$Q$7:$S$17,3,FALSE)</f>
        <v/>
      </c>
      <c r="L10" s="137">
        <f>VLOOKUP(L8,$Q$7:$S$17,2,FALSE)*N(L9)*VLOOKUP(L8,$Q$7:$S$17,3,FALSE)</f>
        <v/>
      </c>
      <c r="M10" s="137">
        <f>VLOOKUP(M8,$Q$7:$S$17,2,FALSE)*N(M9)*VLOOKUP(M8,$Q$7:$S$17,3,FALSE)</f>
        <v/>
      </c>
      <c r="N10" s="113">
        <f>SUM(B10:M10)</f>
        <v/>
      </c>
      <c r="P10" s="54" t="n">
        <v>4</v>
      </c>
      <c r="Q10" s="3" t="inlineStr">
        <is>
          <t>12" x 20"</t>
        </is>
      </c>
      <c r="R10" s="3" t="n">
        <v>1.25</v>
      </c>
      <c r="S10" s="6" t="n">
        <v>1.35</v>
      </c>
    </row>
    <row r="11" ht="13" customHeight="1" thickBot="1">
      <c r="P11" s="54" t="n">
        <v>5</v>
      </c>
      <c r="Q11" s="3" t="inlineStr">
        <is>
          <t>12" x 24"</t>
        </is>
      </c>
      <c r="R11" s="3" t="n">
        <v>1.52</v>
      </c>
      <c r="S11" s="6" t="n">
        <v>1.35</v>
      </c>
    </row>
    <row r="12" ht="13.5" customHeight="1" thickBot="1">
      <c r="A12" s="159" t="inlineStr">
        <is>
          <t>Supply Fan 2 Information</t>
        </is>
      </c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  <c r="M12" s="44" t="n"/>
      <c r="N12" s="34" t="n"/>
      <c r="P12" s="54" t="n">
        <v>6</v>
      </c>
      <c r="Q12" s="3" t="inlineStr">
        <is>
          <t>16" x 16"</t>
        </is>
      </c>
      <c r="R12" s="3" t="n">
        <v>1.36</v>
      </c>
      <c r="S12" s="6" t="n">
        <v>1.35</v>
      </c>
    </row>
    <row r="13" ht="13.5" customHeight="1" thickBot="1">
      <c r="A13" s="42" t="inlineStr">
        <is>
          <t>Model =</t>
        </is>
      </c>
      <c r="B13" s="43" t="n"/>
      <c r="C13" s="37" t="inlineStr">
        <is>
          <t>Notes:</t>
        </is>
      </c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34" t="n"/>
      <c r="P13" s="54" t="n">
        <v>7</v>
      </c>
      <c r="Q13" s="3" t="inlineStr">
        <is>
          <t>16" x 20"</t>
        </is>
      </c>
      <c r="R13" s="3" t="n">
        <v>1.75</v>
      </c>
      <c r="S13" s="6" t="n">
        <v>1.35</v>
      </c>
    </row>
    <row r="14" ht="13.5" customHeight="1" thickBot="1">
      <c r="A14" s="14" t="n"/>
      <c r="B14" s="106" t="inlineStr">
        <is>
          <t>Filter #1</t>
        </is>
      </c>
      <c r="C14" s="107" t="inlineStr">
        <is>
          <t>Filter #2</t>
        </is>
      </c>
      <c r="D14" s="107" t="inlineStr">
        <is>
          <t>Filter #3</t>
        </is>
      </c>
      <c r="E14" s="107" t="inlineStr">
        <is>
          <t>Filter #4</t>
        </is>
      </c>
      <c r="F14" s="107" t="inlineStr">
        <is>
          <t>Filter #5</t>
        </is>
      </c>
      <c r="G14" s="107" t="inlineStr">
        <is>
          <t>Filter #6</t>
        </is>
      </c>
      <c r="H14" s="107" t="inlineStr">
        <is>
          <t>Filter #7</t>
        </is>
      </c>
      <c r="I14" s="107" t="inlineStr">
        <is>
          <t>Filter #8</t>
        </is>
      </c>
      <c r="J14" s="107" t="inlineStr">
        <is>
          <t>Filter #9</t>
        </is>
      </c>
      <c r="K14" s="107" t="inlineStr">
        <is>
          <t>Filter #10</t>
        </is>
      </c>
      <c r="L14" s="107" t="inlineStr">
        <is>
          <t>Filter #11</t>
        </is>
      </c>
      <c r="M14" s="104" t="inlineStr">
        <is>
          <t>Filter #12</t>
        </is>
      </c>
      <c r="N14" s="146" t="inlineStr">
        <is>
          <t>Total CFM</t>
        </is>
      </c>
      <c r="P14" s="54" t="n">
        <v>8</v>
      </c>
      <c r="Q14" s="3" t="inlineStr">
        <is>
          <t>16" x 25"</t>
        </is>
      </c>
      <c r="R14" s="3" t="n">
        <v>2.24</v>
      </c>
      <c r="S14" s="6" t="n">
        <v>1.35</v>
      </c>
    </row>
    <row r="15" ht="13.5" customHeight="1" thickBot="1">
      <c r="A15" s="18" t="inlineStr">
        <is>
          <t>Filter Size</t>
        </is>
      </c>
      <c r="B15" s="111" t="inlineStr">
        <is>
          <t>No Filter</t>
        </is>
      </c>
      <c r="C15" s="111" t="inlineStr">
        <is>
          <t>No Filter</t>
        </is>
      </c>
      <c r="D15" s="111" t="inlineStr">
        <is>
          <t>No Filter</t>
        </is>
      </c>
      <c r="E15" s="111" t="inlineStr">
        <is>
          <t>No Filter</t>
        </is>
      </c>
      <c r="F15" s="111" t="inlineStr">
        <is>
          <t>No Filter</t>
        </is>
      </c>
      <c r="G15" s="111" t="inlineStr">
        <is>
          <t>No Filter</t>
        </is>
      </c>
      <c r="H15" s="111" t="inlineStr">
        <is>
          <t>No Filter</t>
        </is>
      </c>
      <c r="I15" s="111" t="inlineStr">
        <is>
          <t>No Filter</t>
        </is>
      </c>
      <c r="J15" s="111" t="inlineStr">
        <is>
          <t>No Filter</t>
        </is>
      </c>
      <c r="K15" s="111" t="inlineStr">
        <is>
          <t>No Filter</t>
        </is>
      </c>
      <c r="L15" s="111" t="inlineStr">
        <is>
          <t>No Filter</t>
        </is>
      </c>
      <c r="M15" s="112" t="inlineStr">
        <is>
          <t>No Filter</t>
        </is>
      </c>
      <c r="N15" s="105" t="n"/>
      <c r="P15" s="12" t="n">
        <v>9</v>
      </c>
      <c r="Q15" s="3" t="inlineStr">
        <is>
          <t>20" x 20"</t>
        </is>
      </c>
      <c r="R15" s="3" t="n">
        <v>2.25</v>
      </c>
      <c r="S15" s="6" t="n">
        <v>1.35</v>
      </c>
    </row>
    <row r="16" ht="17" customHeight="1">
      <c r="A16" s="18" t="inlineStr">
        <is>
          <t>Velocity</t>
        </is>
      </c>
      <c r="B16" s="108" t="n"/>
      <c r="C16" s="109" t="n"/>
      <c r="D16" s="109" t="n"/>
      <c r="E16" s="109" t="n"/>
      <c r="F16" s="109" t="n"/>
      <c r="G16" s="109" t="n"/>
      <c r="H16" s="109" t="n"/>
      <c r="I16" s="109" t="n"/>
      <c r="J16" s="109" t="n"/>
      <c r="K16" s="109" t="n"/>
      <c r="L16" s="109" t="n"/>
      <c r="M16" s="110" t="n"/>
      <c r="N16" s="6" t="n"/>
      <c r="P16" s="12" t="n">
        <v>10</v>
      </c>
      <c r="Q16" s="3" t="inlineStr">
        <is>
          <t>20" x 25"</t>
        </is>
      </c>
      <c r="R16" s="3" t="n">
        <v>2.88</v>
      </c>
      <c r="S16" s="6" t="n">
        <v>1.35</v>
      </c>
    </row>
    <row r="17" ht="13.5" customHeight="1" thickBot="1">
      <c r="A17" s="19" t="inlineStr">
        <is>
          <t>CFM</t>
        </is>
      </c>
      <c r="B17" s="137">
        <f>VLOOKUP(B15,$Q$7:$S$17,2,FALSE)*N(B16)*VLOOKUP(B15,$Q$7:$S$17,3,FALSE)</f>
        <v/>
      </c>
      <c r="C17" s="137">
        <f>VLOOKUP(C15,$Q$7:$S$17,2,FALSE)*N(C16)*VLOOKUP(C15,$Q$7:$S$17,3,FALSE)</f>
        <v/>
      </c>
      <c r="D17" s="137">
        <f>VLOOKUP(D15,$Q$7:$S$17,2,FALSE)*N(D16)*VLOOKUP(D15,$Q$7:$S$17,3,FALSE)</f>
        <v/>
      </c>
      <c r="E17" s="137">
        <f>VLOOKUP(E15,$Q$7:$S$17,2,FALSE)*N(E16)*VLOOKUP(E15,$Q$7:$S$17,3,FALSE)</f>
        <v/>
      </c>
      <c r="F17" s="137">
        <f>VLOOKUP(F15,$Q$7:$S$17,2,FALSE)*N(F16)*VLOOKUP(F15,$Q$7:$S$17,3,FALSE)</f>
        <v/>
      </c>
      <c r="G17" s="137">
        <f>VLOOKUP(G15,$Q$7:$S$17,2,FALSE)*N(G16)*VLOOKUP(G15,$Q$7:$S$17,3,FALSE)</f>
        <v/>
      </c>
      <c r="H17" s="137">
        <f>VLOOKUP(H15,$Q$7:$S$17,2,FALSE)*N(H16)*VLOOKUP(H15,$Q$7:$S$17,3,FALSE)</f>
        <v/>
      </c>
      <c r="I17" s="137">
        <f>VLOOKUP(I15,$Q$7:$S$17,2,FALSE)*N(I16)*VLOOKUP(I15,$Q$7:$S$17,3,FALSE)</f>
        <v/>
      </c>
      <c r="J17" s="137">
        <f>VLOOKUP(J15,$Q$7:$S$17,2,FALSE)*N(J16)*VLOOKUP(J15,$Q$7:$S$17,3,FALSE)</f>
        <v/>
      </c>
      <c r="K17" s="137">
        <f>VLOOKUP(K15,$Q$7:$S$17,2,FALSE)*N(K16)*VLOOKUP(K15,$Q$7:$S$17,3,FALSE)</f>
        <v/>
      </c>
      <c r="L17" s="137">
        <f>VLOOKUP(L15,$Q$7:$S$17,2,FALSE)*N(L16)*VLOOKUP(L15,$Q$7:$S$17,3,FALSE)</f>
        <v/>
      </c>
      <c r="M17" s="137">
        <f>VLOOKUP(M15,$Q$7:$S$17,2,FALSE)*N(M16)*VLOOKUP(M15,$Q$7:$S$17,3,FALSE)</f>
        <v/>
      </c>
      <c r="N17" s="113">
        <f>SUM(B17:M17)</f>
        <v/>
      </c>
      <c r="P17" s="13" t="n">
        <v>11</v>
      </c>
      <c r="Q17" s="8" t="inlineStr">
        <is>
          <t>24" x 24"</t>
        </is>
      </c>
      <c r="R17" s="8" t="n">
        <v>3.36</v>
      </c>
      <c r="S17" s="6" t="n">
        <v>1.35</v>
      </c>
    </row>
    <row r="18" ht="13" customHeight="1" thickBot="1"/>
    <row r="19" ht="13.5" customHeight="1" thickBot="1">
      <c r="A19" s="159" t="inlineStr">
        <is>
          <t>Supply Fan 3 Information</t>
        </is>
      </c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34" t="n"/>
      <c r="P19" s="129" t="inlineStr">
        <is>
          <t>*NOTE:  You must use the longer standoffs when taking readings with the Evergreen Vel-Grid.</t>
        </is>
      </c>
    </row>
    <row r="20" ht="13.5" customHeight="1" thickBot="1">
      <c r="A20" s="42" t="inlineStr">
        <is>
          <t>Model =</t>
        </is>
      </c>
      <c r="B20" s="43" t="n"/>
      <c r="C20" s="37" t="inlineStr">
        <is>
          <t>Notes:</t>
        </is>
      </c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34" t="n"/>
    </row>
    <row r="21" ht="13.5" customHeight="1" thickBot="1">
      <c r="A21" s="14" t="n"/>
      <c r="B21" s="106" t="inlineStr">
        <is>
          <t>Filter #1</t>
        </is>
      </c>
      <c r="C21" s="107" t="inlineStr">
        <is>
          <t>Filter #2</t>
        </is>
      </c>
      <c r="D21" s="107" t="inlineStr">
        <is>
          <t>Filter #3</t>
        </is>
      </c>
      <c r="E21" s="107" t="inlineStr">
        <is>
          <t>Filter #4</t>
        </is>
      </c>
      <c r="F21" s="107" t="inlineStr">
        <is>
          <t>Filter #5</t>
        </is>
      </c>
      <c r="G21" s="107" t="inlineStr">
        <is>
          <t>Filter #6</t>
        </is>
      </c>
      <c r="H21" s="107" t="inlineStr">
        <is>
          <t>Filter #7</t>
        </is>
      </c>
      <c r="I21" s="107" t="inlineStr">
        <is>
          <t>Filter #8</t>
        </is>
      </c>
      <c r="J21" s="107" t="inlineStr">
        <is>
          <t>Filter #9</t>
        </is>
      </c>
      <c r="K21" s="107" t="inlineStr">
        <is>
          <t>Filter #10</t>
        </is>
      </c>
      <c r="L21" s="107" t="inlineStr">
        <is>
          <t>Filter #11</t>
        </is>
      </c>
      <c r="M21" s="104" t="inlineStr">
        <is>
          <t>Filter #12</t>
        </is>
      </c>
      <c r="N21" s="146" t="inlineStr">
        <is>
          <t>Total CFM</t>
        </is>
      </c>
    </row>
    <row r="22" ht="13.5" customHeight="1" thickBot="1">
      <c r="A22" s="18" t="inlineStr">
        <is>
          <t>Filter Size</t>
        </is>
      </c>
      <c r="B22" s="111" t="inlineStr">
        <is>
          <t>No Filter</t>
        </is>
      </c>
      <c r="C22" s="111" t="inlineStr">
        <is>
          <t>No Filter</t>
        </is>
      </c>
      <c r="D22" s="111" t="inlineStr">
        <is>
          <t>No Filter</t>
        </is>
      </c>
      <c r="E22" s="111" t="inlineStr">
        <is>
          <t>No Filter</t>
        </is>
      </c>
      <c r="F22" s="111" t="inlineStr">
        <is>
          <t>No Filter</t>
        </is>
      </c>
      <c r="G22" s="111" t="inlineStr">
        <is>
          <t>No Filter</t>
        </is>
      </c>
      <c r="H22" s="111" t="inlineStr">
        <is>
          <t>No Filter</t>
        </is>
      </c>
      <c r="I22" s="111" t="inlineStr">
        <is>
          <t>No Filter</t>
        </is>
      </c>
      <c r="J22" s="111" t="inlineStr">
        <is>
          <t>No Filter</t>
        </is>
      </c>
      <c r="K22" s="111" t="inlineStr">
        <is>
          <t>No Filter</t>
        </is>
      </c>
      <c r="L22" s="111" t="inlineStr">
        <is>
          <t>No Filter</t>
        </is>
      </c>
      <c r="M22" s="112" t="inlineStr">
        <is>
          <t>No Filter</t>
        </is>
      </c>
      <c r="N22" s="105" t="n"/>
    </row>
    <row r="23" ht="17" customHeight="1">
      <c r="A23" s="18" t="inlineStr">
        <is>
          <t>Velocity</t>
        </is>
      </c>
      <c r="B23" s="108" t="n"/>
      <c r="C23" s="109" t="n"/>
      <c r="D23" s="109" t="n"/>
      <c r="E23" s="109" t="n"/>
      <c r="F23" s="109" t="n"/>
      <c r="G23" s="109" t="n"/>
      <c r="H23" s="109" t="n"/>
      <c r="I23" s="109" t="n"/>
      <c r="J23" s="109" t="n"/>
      <c r="K23" s="109" t="n"/>
      <c r="L23" s="109" t="n"/>
      <c r="M23" s="110" t="n"/>
      <c r="N23" s="6" t="n"/>
    </row>
    <row r="24" ht="13.5" customHeight="1" thickBot="1">
      <c r="A24" s="19" t="inlineStr">
        <is>
          <t>CFM</t>
        </is>
      </c>
      <c r="B24" s="137">
        <f>VLOOKUP(B22,$Q$7:$S$17,2,FALSE)*N(B23)*VLOOKUP(B22,$Q$7:$S$17,3,FALSE)</f>
        <v/>
      </c>
      <c r="C24" s="137">
        <f>VLOOKUP(C22,$Q$7:$S$17,2,FALSE)*N(C23)*VLOOKUP(C22,$Q$7:$S$17,3,FALSE)</f>
        <v/>
      </c>
      <c r="D24" s="137">
        <f>VLOOKUP(D22,$Q$7:$S$17,2,FALSE)*N(D23)*VLOOKUP(D22,$Q$7:$S$17,3,FALSE)</f>
        <v/>
      </c>
      <c r="E24" s="137">
        <f>VLOOKUP(E22,$Q$7:$S$17,2,FALSE)*N(E23)*VLOOKUP(E22,$Q$7:$S$17,3,FALSE)</f>
        <v/>
      </c>
      <c r="F24" s="137">
        <f>VLOOKUP(F22,$Q$7:$S$17,2,FALSE)*N(F23)*VLOOKUP(F22,$Q$7:$S$17,3,FALSE)</f>
        <v/>
      </c>
      <c r="G24" s="137">
        <f>VLOOKUP(G22,$Q$7:$S$17,2,FALSE)*N(G23)*VLOOKUP(G22,$Q$7:$S$17,3,FALSE)</f>
        <v/>
      </c>
      <c r="H24" s="137">
        <f>VLOOKUP(H22,$Q$7:$S$17,2,FALSE)*N(H23)*VLOOKUP(H22,$Q$7:$S$17,3,FALSE)</f>
        <v/>
      </c>
      <c r="I24" s="137">
        <f>VLOOKUP(I22,$Q$7:$S$17,2,FALSE)*N(I23)*VLOOKUP(I22,$Q$7:$S$17,3,FALSE)</f>
        <v/>
      </c>
      <c r="J24" s="137">
        <f>VLOOKUP(J22,$Q$7:$S$17,2,FALSE)*N(J23)*VLOOKUP(J22,$Q$7:$S$17,3,FALSE)</f>
        <v/>
      </c>
      <c r="K24" s="137">
        <f>VLOOKUP(K22,$Q$7:$S$17,2,FALSE)*N(K23)*VLOOKUP(K22,$Q$7:$S$17,3,FALSE)</f>
        <v/>
      </c>
      <c r="L24" s="137">
        <f>VLOOKUP(L22,$Q$7:$S$17,2,FALSE)*N(L23)*VLOOKUP(L22,$Q$7:$S$17,3,FALSE)</f>
        <v/>
      </c>
      <c r="M24" s="137">
        <f>VLOOKUP(M22,$Q$7:$S$17,2,FALSE)*N(M23)*VLOOKUP(M22,$Q$7:$S$17,3,FALSE)</f>
        <v/>
      </c>
      <c r="N24" s="113">
        <f>SUM(B24:M24)</f>
        <v/>
      </c>
    </row>
    <row r="25" ht="13" customHeight="1" thickBot="1"/>
    <row r="26" ht="13.5" customHeight="1" thickBot="1">
      <c r="A26" s="159" t="inlineStr">
        <is>
          <t>Supply Fan 4 Information</t>
        </is>
      </c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34" t="n"/>
    </row>
    <row r="27" ht="13.5" customHeight="1" thickBot="1">
      <c r="A27" s="42" t="inlineStr">
        <is>
          <t>Model =</t>
        </is>
      </c>
      <c r="B27" s="43" t="n"/>
      <c r="C27" s="37" t="inlineStr">
        <is>
          <t>Notes:</t>
        </is>
      </c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34" t="n"/>
    </row>
    <row r="28" ht="13.5" customHeight="1" thickBot="1">
      <c r="A28" s="14" t="n"/>
      <c r="B28" s="106" t="inlineStr">
        <is>
          <t>Filter #1</t>
        </is>
      </c>
      <c r="C28" s="107" t="inlineStr">
        <is>
          <t>Filter #2</t>
        </is>
      </c>
      <c r="D28" s="107" t="inlineStr">
        <is>
          <t>Filter #3</t>
        </is>
      </c>
      <c r="E28" s="107" t="inlineStr">
        <is>
          <t>Filter #4</t>
        </is>
      </c>
      <c r="F28" s="107" t="inlineStr">
        <is>
          <t>Filter #5</t>
        </is>
      </c>
      <c r="G28" s="107" t="inlineStr">
        <is>
          <t>Filter #6</t>
        </is>
      </c>
      <c r="H28" s="107" t="inlineStr">
        <is>
          <t>Filter #7</t>
        </is>
      </c>
      <c r="I28" s="107" t="inlineStr">
        <is>
          <t>Filter #8</t>
        </is>
      </c>
      <c r="J28" s="107" t="inlineStr">
        <is>
          <t>Filter #9</t>
        </is>
      </c>
      <c r="K28" s="107" t="inlineStr">
        <is>
          <t>Filter #10</t>
        </is>
      </c>
      <c r="L28" s="107" t="inlineStr">
        <is>
          <t>Filter #11</t>
        </is>
      </c>
      <c r="M28" s="104" t="inlineStr">
        <is>
          <t>Filter #12</t>
        </is>
      </c>
      <c r="N28" s="146" t="inlineStr">
        <is>
          <t>Total CFM</t>
        </is>
      </c>
    </row>
    <row r="29" ht="13.5" customHeight="1" thickBot="1">
      <c r="A29" s="18" t="inlineStr">
        <is>
          <t>Filter Size</t>
        </is>
      </c>
      <c r="B29" s="111" t="inlineStr">
        <is>
          <t>No Filter</t>
        </is>
      </c>
      <c r="C29" s="111" t="inlineStr">
        <is>
          <t>No Filter</t>
        </is>
      </c>
      <c r="D29" s="111" t="inlineStr">
        <is>
          <t>No Filter</t>
        </is>
      </c>
      <c r="E29" s="111" t="inlineStr">
        <is>
          <t>No Filter</t>
        </is>
      </c>
      <c r="F29" s="111" t="inlineStr">
        <is>
          <t>No Filter</t>
        </is>
      </c>
      <c r="G29" s="111" t="inlineStr">
        <is>
          <t>No Filter</t>
        </is>
      </c>
      <c r="H29" s="111" t="inlineStr">
        <is>
          <t>No Filter</t>
        </is>
      </c>
      <c r="I29" s="111" t="inlineStr">
        <is>
          <t>No Filter</t>
        </is>
      </c>
      <c r="J29" s="111" t="inlineStr">
        <is>
          <t>No Filter</t>
        </is>
      </c>
      <c r="K29" s="111" t="inlineStr">
        <is>
          <t>No Filter</t>
        </is>
      </c>
      <c r="L29" s="111" t="inlineStr">
        <is>
          <t>No Filter</t>
        </is>
      </c>
      <c r="M29" s="112" t="inlineStr">
        <is>
          <t>No Filter</t>
        </is>
      </c>
      <c r="N29" s="105" t="n"/>
    </row>
    <row r="30" ht="17" customHeight="1">
      <c r="A30" s="18" t="inlineStr">
        <is>
          <t>Velocity</t>
        </is>
      </c>
      <c r="B30" s="108" t="n"/>
      <c r="C30" s="109" t="n"/>
      <c r="D30" s="109" t="n"/>
      <c r="E30" s="109" t="n"/>
      <c r="F30" s="109" t="n"/>
      <c r="G30" s="109" t="n"/>
      <c r="H30" s="109" t="n"/>
      <c r="I30" s="109" t="n"/>
      <c r="J30" s="109" t="n"/>
      <c r="K30" s="109" t="n"/>
      <c r="L30" s="109" t="n"/>
      <c r="M30" s="110" t="n"/>
      <c r="N30" s="6" t="n"/>
    </row>
    <row r="31" ht="13.5" customHeight="1" thickBot="1">
      <c r="A31" s="19" t="inlineStr">
        <is>
          <t>CFM</t>
        </is>
      </c>
      <c r="B31" s="137">
        <f>VLOOKUP(B29,$Q$7:$S$17,2,FALSE)*N(B30)*VLOOKUP(B29,$Q$7:$S$17,3,FALSE)</f>
        <v/>
      </c>
      <c r="C31" s="137">
        <f>VLOOKUP(C29,$Q$7:$S$17,2,FALSE)*N(C30)*VLOOKUP(C29,$Q$7:$S$17,3,FALSE)</f>
        <v/>
      </c>
      <c r="D31" s="137">
        <f>VLOOKUP(D29,$Q$7:$S$17,2,FALSE)*N(D30)*VLOOKUP(D29,$Q$7:$S$17,3,FALSE)</f>
        <v/>
      </c>
      <c r="E31" s="137">
        <f>VLOOKUP(E29,$Q$7:$S$17,2,FALSE)*N(E30)*VLOOKUP(E29,$Q$7:$S$17,3,FALSE)</f>
        <v/>
      </c>
      <c r="F31" s="137">
        <f>VLOOKUP(F29,$Q$7:$S$17,2,FALSE)*N(F30)*VLOOKUP(F29,$Q$7:$S$17,3,FALSE)</f>
        <v/>
      </c>
      <c r="G31" s="137">
        <f>VLOOKUP(G29,$Q$7:$S$17,2,FALSE)*N(G30)*VLOOKUP(G29,$Q$7:$S$17,3,FALSE)</f>
        <v/>
      </c>
      <c r="H31" s="137">
        <f>VLOOKUP(H29,$Q$7:$S$17,2,FALSE)*N(H30)*VLOOKUP(H29,$Q$7:$S$17,3,FALSE)</f>
        <v/>
      </c>
      <c r="I31" s="137">
        <f>VLOOKUP(I29,$Q$7:$S$17,2,FALSE)*N(I30)*VLOOKUP(I29,$Q$7:$S$17,3,FALSE)</f>
        <v/>
      </c>
      <c r="J31" s="137">
        <f>VLOOKUP(J29,$Q$7:$S$17,2,FALSE)*N(J30)*VLOOKUP(J29,$Q$7:$S$17,3,FALSE)</f>
        <v/>
      </c>
      <c r="K31" s="137">
        <f>VLOOKUP(K29,$Q$7:$S$17,2,FALSE)*N(K30)*VLOOKUP(K29,$Q$7:$S$17,3,FALSE)</f>
        <v/>
      </c>
      <c r="L31" s="137">
        <f>VLOOKUP(L29,$Q$7:$S$17,2,FALSE)*N(L30)*VLOOKUP(L29,$Q$7:$S$17,3,FALSE)</f>
        <v/>
      </c>
      <c r="M31" s="137">
        <f>VLOOKUP(M29,$Q$7:$S$17,2,FALSE)*N(M30)*VLOOKUP(M29,$Q$7:$S$17,3,FALSE)</f>
        <v/>
      </c>
      <c r="N31" s="113">
        <f>SUM(B31:M31)</f>
        <v/>
      </c>
    </row>
    <row r="32" ht="17" customHeight="1"/>
    <row r="33" ht="17" customHeight="1">
      <c r="A33" s="151" t="inlineStr">
        <is>
          <t>Total Supply CFM's =</t>
        </is>
      </c>
      <c r="B33" s="140">
        <f>SUM(N:N)</f>
        <v/>
      </c>
      <c r="C33" s="151" t="inlineStr">
        <is>
          <t>CFM</t>
        </is>
      </c>
    </row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7" customHeight="1"/>
  </sheetData>
  <mergeCells count="7">
    <mergeCell ref="P5:S5"/>
    <mergeCell ref="P19:S20"/>
    <mergeCell ref="A12:N12"/>
    <mergeCell ref="A26:N26"/>
    <mergeCell ref="A19:N19"/>
    <mergeCell ref="A5:N5"/>
    <mergeCell ref="A1:N1"/>
  </mergeCells>
  <dataValidations count="1">
    <dataValidation sqref="B8:M8 B15:M15 B22:M22 B29:M29" showDropDown="0" showInputMessage="1" showErrorMessage="1" allowBlank="1" type="list">
      <formula1>$Q$7:$Q$17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3"/>
  <sheetViews>
    <sheetView workbookViewId="0">
      <selection activeCell="B33" activeCellId="5" sqref="AI10 AI17 AI24 AI31 D33 B33:C33"/>
    </sheetView>
  </sheetViews>
  <sheetFormatPr baseColWidth="8" defaultRowHeight="12.5"/>
  <cols>
    <col width="20.7265625" bestFit="1" customWidth="1" min="1" max="1"/>
    <col width="4.26953125" customWidth="1" style="1" min="2" max="2"/>
    <col width="4.26953125" customWidth="1" min="3" max="34"/>
    <col width="10.7265625" customWidth="1" min="35" max="35"/>
    <col width="8.81640625" customWidth="1" min="36" max="36"/>
    <col width="9.36328125" customWidth="1" min="37" max="37"/>
    <col width="9.08984375" customWidth="1" min="38" max="38"/>
    <col width="9.26953125" customWidth="1" min="39" max="39"/>
    <col width="8" customWidth="1" min="40" max="40"/>
    <col width="9.08984375" customWidth="1" min="41" max="41"/>
  </cols>
  <sheetData>
    <row r="1" ht="17.5" customHeight="1">
      <c r="A1" s="125" t="inlineStr">
        <is>
          <t>HVC or Slot Filter CFM Worksheet for Evergreen Airfoil</t>
        </is>
      </c>
    </row>
    <row r="2" ht="17" customHeight="1">
      <c r="A2" s="151" t="inlineStr">
        <is>
          <t>Job Number =</t>
        </is>
      </c>
      <c r="B2" s="20" t="n"/>
      <c r="N2" t="inlineStr">
        <is>
          <t>3 readings per filter</t>
        </is>
      </c>
      <c r="AI2" s="70" t="inlineStr">
        <is>
          <t>rev. 0</t>
        </is>
      </c>
    </row>
    <row r="3" ht="17" customHeight="1">
      <c r="A3" s="151" t="inlineStr">
        <is>
          <t>Job Name =</t>
        </is>
      </c>
      <c r="B3" s="20" t="n"/>
    </row>
    <row r="4" ht="13" customHeight="1" thickBot="1"/>
    <row r="5" ht="13.5" customHeight="1" thickBot="1">
      <c r="A5" s="158" t="inlineStr">
        <is>
          <t>Hood Number 1 Information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2" t="n"/>
      <c r="AK5" s="156" t="inlineStr">
        <is>
          <t>Filter Information</t>
        </is>
      </c>
      <c r="AL5" s="21" t="n"/>
      <c r="AM5" s="21" t="n"/>
      <c r="AN5" s="22" t="n"/>
    </row>
    <row r="6" ht="13.5" customHeight="1" thickBot="1">
      <c r="A6" s="42" t="inlineStr">
        <is>
          <t>Model =</t>
        </is>
      </c>
      <c r="B6" s="51" t="n"/>
      <c r="C6" s="52" t="inlineStr">
        <is>
          <t>Length =</t>
        </is>
      </c>
      <c r="D6" s="53" t="n"/>
      <c r="E6" s="21" t="inlineStr">
        <is>
          <t>Notes: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2" t="n"/>
      <c r="AK6" s="31" t="inlineStr">
        <is>
          <t>Reference</t>
        </is>
      </c>
      <c r="AL6" s="32" t="inlineStr">
        <is>
          <t>Filter Size</t>
        </is>
      </c>
      <c r="AM6" s="32" t="inlineStr">
        <is>
          <t>Free Area</t>
        </is>
      </c>
      <c r="AN6" s="33" t="inlineStr">
        <is>
          <t>K Factor</t>
        </is>
      </c>
    </row>
    <row r="7" ht="17" customHeight="1">
      <c r="A7" s="39" t="n"/>
      <c r="B7" s="144" t="inlineStr">
        <is>
          <t>Filter #1</t>
        </is>
      </c>
      <c r="C7" s="160" t="n"/>
      <c r="D7" s="161" t="n"/>
      <c r="E7" s="144" t="inlineStr">
        <is>
          <t>Filter #2</t>
        </is>
      </c>
      <c r="F7" s="160" t="n"/>
      <c r="G7" s="161" t="n"/>
      <c r="H7" s="144" t="inlineStr">
        <is>
          <t>Filter #3</t>
        </is>
      </c>
      <c r="I7" s="160" t="n"/>
      <c r="J7" s="161" t="n"/>
      <c r="K7" s="144" t="inlineStr">
        <is>
          <t>Filter #4</t>
        </is>
      </c>
      <c r="L7" s="160" t="n"/>
      <c r="M7" s="161" t="n"/>
      <c r="N7" s="144" t="inlineStr">
        <is>
          <t>Filter #5</t>
        </is>
      </c>
      <c r="O7" s="160" t="n"/>
      <c r="P7" s="161" t="n"/>
      <c r="Q7" s="144" t="inlineStr">
        <is>
          <t>Filter #6</t>
        </is>
      </c>
      <c r="R7" s="160" t="n"/>
      <c r="S7" s="161" t="n"/>
      <c r="T7" s="144" t="inlineStr">
        <is>
          <t>Filter #7</t>
        </is>
      </c>
      <c r="U7" s="160" t="n"/>
      <c r="V7" s="161" t="n"/>
      <c r="W7" s="144" t="inlineStr">
        <is>
          <t>Filter #8</t>
        </is>
      </c>
      <c r="X7" s="160" t="n"/>
      <c r="Y7" s="161" t="n"/>
      <c r="Z7" s="144" t="inlineStr">
        <is>
          <t>Filter #9</t>
        </is>
      </c>
      <c r="AA7" s="160" t="n"/>
      <c r="AB7" s="161" t="n"/>
      <c r="AC7" s="144" t="inlineStr">
        <is>
          <t>Filter #10</t>
        </is>
      </c>
      <c r="AD7" s="160" t="n"/>
      <c r="AE7" s="161" t="n"/>
      <c r="AF7" s="144" t="inlineStr">
        <is>
          <t>Filter #11</t>
        </is>
      </c>
      <c r="AG7" s="160" t="n"/>
      <c r="AH7" s="161" t="n"/>
      <c r="AI7" s="146" t="inlineStr">
        <is>
          <t>Total CFM</t>
        </is>
      </c>
      <c r="AK7" s="12" t="n">
        <v>1</v>
      </c>
      <c r="AL7" s="3" t="inlineStr">
        <is>
          <t>No Filter</t>
        </is>
      </c>
      <c r="AM7" s="3" t="n">
        <v>0</v>
      </c>
      <c r="AN7" s="6" t="n">
        <v>0</v>
      </c>
    </row>
    <row r="8" ht="17" customHeight="1">
      <c r="A8" s="18" t="inlineStr">
        <is>
          <t>Filter Size</t>
        </is>
      </c>
      <c r="B8" s="162" t="inlineStr">
        <is>
          <t>No Filter</t>
        </is>
      </c>
      <c r="C8" s="163" t="n"/>
      <c r="D8" s="105" t="n"/>
      <c r="E8" s="162" t="inlineStr">
        <is>
          <t>No Filter</t>
        </is>
      </c>
      <c r="F8" s="163" t="n"/>
      <c r="G8" s="105" t="n"/>
      <c r="H8" s="162" t="inlineStr">
        <is>
          <t>No Filter</t>
        </is>
      </c>
      <c r="I8" s="163" t="n"/>
      <c r="J8" s="105" t="n"/>
      <c r="K8" s="162" t="inlineStr">
        <is>
          <t>No Filter</t>
        </is>
      </c>
      <c r="L8" s="163" t="n"/>
      <c r="M8" s="105" t="n"/>
      <c r="N8" s="162" t="inlineStr">
        <is>
          <t>No Filter</t>
        </is>
      </c>
      <c r="O8" s="163" t="n"/>
      <c r="P8" s="105" t="n"/>
      <c r="Q8" s="162" t="inlineStr">
        <is>
          <t>No Filter</t>
        </is>
      </c>
      <c r="R8" s="163" t="n"/>
      <c r="S8" s="105" t="n"/>
      <c r="T8" s="162" t="inlineStr">
        <is>
          <t>No Filter</t>
        </is>
      </c>
      <c r="U8" s="163" t="n"/>
      <c r="V8" s="105" t="n"/>
      <c r="W8" s="162" t="inlineStr">
        <is>
          <t>No Filter</t>
        </is>
      </c>
      <c r="X8" s="163" t="n"/>
      <c r="Y8" s="105" t="n"/>
      <c r="Z8" s="162" t="inlineStr">
        <is>
          <t>No Filter</t>
        </is>
      </c>
      <c r="AA8" s="163" t="n"/>
      <c r="AB8" s="105" t="n"/>
      <c r="AC8" s="162" t="inlineStr">
        <is>
          <t>No Filter</t>
        </is>
      </c>
      <c r="AD8" s="163" t="n"/>
      <c r="AE8" s="105" t="n"/>
      <c r="AF8" s="162" t="inlineStr">
        <is>
          <t>No Filter</t>
        </is>
      </c>
      <c r="AG8" s="163" t="n"/>
      <c r="AH8" s="105" t="n"/>
      <c r="AI8" s="5" t="n"/>
      <c r="AK8" s="12" t="n">
        <v>2</v>
      </c>
      <c r="AL8" s="3" t="inlineStr">
        <is>
          <t>16" Wide</t>
        </is>
      </c>
      <c r="AM8" s="3" t="n">
        <v>0.2402</v>
      </c>
      <c r="AN8" s="6" t="n">
        <v>1</v>
      </c>
    </row>
    <row r="9" ht="13.5" customHeight="1" thickBot="1">
      <c r="A9" s="18" t="inlineStr">
        <is>
          <t>Velocity</t>
        </is>
      </c>
      <c r="B9" s="95" t="n"/>
      <c r="C9" s="102" t="n"/>
      <c r="D9" s="114" t="n"/>
      <c r="E9" s="95" t="n"/>
      <c r="F9" s="102" t="n"/>
      <c r="G9" s="114" t="n"/>
      <c r="H9" s="95" t="n"/>
      <c r="I9" s="102" t="n"/>
      <c r="J9" s="114" t="n"/>
      <c r="K9" s="95" t="n"/>
      <c r="L9" s="102" t="n"/>
      <c r="M9" s="114" t="n"/>
      <c r="N9" s="95" t="n"/>
      <c r="O9" s="102" t="n"/>
      <c r="P9" s="114" t="n"/>
      <c r="Q9" s="95" t="n"/>
      <c r="R9" s="102" t="n"/>
      <c r="S9" s="114" t="n"/>
      <c r="T9" s="95" t="n"/>
      <c r="U9" s="102" t="n"/>
      <c r="V9" s="114" t="n"/>
      <c r="W9" s="95" t="n"/>
      <c r="X9" s="102" t="n"/>
      <c r="Y9" s="114" t="n"/>
      <c r="Z9" s="95" t="n"/>
      <c r="AA9" s="102" t="n"/>
      <c r="AB9" s="114" t="n"/>
      <c r="AC9" s="95" t="n"/>
      <c r="AD9" s="102" t="n"/>
      <c r="AE9" s="114" t="n"/>
      <c r="AF9" s="95" t="n"/>
      <c r="AG9" s="102" t="n"/>
      <c r="AH9" s="114" t="n"/>
      <c r="AI9" s="6" t="n"/>
      <c r="AK9" s="13" t="n">
        <v>3</v>
      </c>
      <c r="AL9" s="8" t="inlineStr">
        <is>
          <t>20" Wide</t>
        </is>
      </c>
      <c r="AM9" s="8" t="n">
        <v>0.3027</v>
      </c>
      <c r="AN9" s="9" t="n">
        <v>1</v>
      </c>
    </row>
    <row r="10" ht="13.5" customHeight="1" thickBot="1">
      <c r="A10" s="19" t="inlineStr">
        <is>
          <t>CFM</t>
        </is>
      </c>
      <c r="B10" s="137">
        <f>AVERAGE(B9:D9)*VLOOKUP(B8,$AL$7:$AN$9,2, FALSE)*VLOOKUP(B8,$AL$7:$AN$9,3, FALSE)</f>
        <v/>
      </c>
      <c r="C10" s="164" t="n"/>
      <c r="D10" s="165" t="n"/>
      <c r="E10" s="137">
        <f>AVERAGE(E9:G9)*VLOOKUP(E8,$AL$7:$AN$9,2, FALSE)*VLOOKUP(E8,$AL$7:$AN$9,3, FALSE)</f>
        <v/>
      </c>
      <c r="F10" s="164" t="n"/>
      <c r="G10" s="165" t="n"/>
      <c r="H10" s="137">
        <f>AVERAGE(H9:J9)*VLOOKUP(H8,$AL$7:$AN$9,2, FALSE)*VLOOKUP(H8,$AL$7:$AN$9,3, FALSE)</f>
        <v/>
      </c>
      <c r="I10" s="164" t="n"/>
      <c r="J10" s="165" t="n"/>
      <c r="K10" s="137">
        <f>AVERAGE(K9:M9)*VLOOKUP(K8,$AL$7:$AN$9,2, FALSE)*VLOOKUP(K8,$AL$7:$AN$9,3, FALSE)</f>
        <v/>
      </c>
      <c r="L10" s="164" t="n"/>
      <c r="M10" s="165" t="n"/>
      <c r="N10" s="137">
        <f>AVERAGE(N9:P9)*VLOOKUP(N8,$AL$7:$AN$9,2, FALSE)*VLOOKUP(N8,$AL$7:$AN$9,3, FALSE)</f>
        <v/>
      </c>
      <c r="O10" s="164" t="n"/>
      <c r="P10" s="165" t="n"/>
      <c r="Q10" s="137">
        <f>AVERAGE(Q9:S9)*VLOOKUP(Q8,$AL$7:$AN$9,2, FALSE)*VLOOKUP(Q8,$AL$7:$AN$9,3, FALSE)</f>
        <v/>
      </c>
      <c r="R10" s="164" t="n"/>
      <c r="S10" s="165" t="n"/>
      <c r="T10" s="137">
        <f>AVERAGE(T9:V9)*VLOOKUP(T8,$AL$7:$AN$9,2, FALSE)*VLOOKUP(T8,$AL$7:$AN$9,3, FALSE)</f>
        <v/>
      </c>
      <c r="U10" s="164" t="n"/>
      <c r="V10" s="165" t="n"/>
      <c r="W10" s="137">
        <f>AVERAGE(W9:Y9)*VLOOKUP(W8,$AL$7:$AN$9,2, FALSE)*VLOOKUP(W8,$AL$7:$AN$9,3, FALSE)</f>
        <v/>
      </c>
      <c r="X10" s="164" t="n"/>
      <c r="Y10" s="165" t="n"/>
      <c r="Z10" s="137">
        <f>AVERAGE(Z9:AB9)*VLOOKUP(Z8,$AL$7:$AN$9,2, FALSE)*VLOOKUP(Z8,$AL$7:$AN$9,3, FALSE)</f>
        <v/>
      </c>
      <c r="AA10" s="164" t="n"/>
      <c r="AB10" s="165" t="n"/>
      <c r="AC10" s="137">
        <f>AVERAGE(AC9:AE9)*VLOOKUP(AC8,$AL$7:$AN$9,2, FALSE)*VLOOKUP(AC8,$AL$7:$AN$9,3, FALSE)</f>
        <v/>
      </c>
      <c r="AD10" s="164" t="n"/>
      <c r="AE10" s="165" t="n"/>
      <c r="AF10" s="137">
        <f>AVERAGE(AF9:AH9)*VLOOKUP(AF8,$AL$7:$AN$9,2, FALSE)*VLOOKUP(AF8,$AL$7:$AN$9,3, FALSE)</f>
        <v/>
      </c>
      <c r="AG10" s="164" t="n"/>
      <c r="AH10" s="165" t="n"/>
      <c r="AI10" s="113">
        <f>SUM(B10:AH10)</f>
        <v/>
      </c>
    </row>
    <row r="11" ht="13" customHeight="1" thickBot="1"/>
    <row r="12" ht="13.5" customHeight="1" thickBot="1">
      <c r="A12" s="159" t="inlineStr">
        <is>
          <t>Hood Number 2 Information</t>
        </is>
      </c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  <c r="AE12" s="44" t="n"/>
      <c r="AF12" s="44" t="n"/>
      <c r="AG12" s="44" t="n"/>
      <c r="AH12" s="44" t="n"/>
      <c r="AI12" s="34" t="n"/>
      <c r="AL12" t="inlineStr">
        <is>
          <t>Filter Opening = 2.25" x 19.375" or 15.375"</t>
        </is>
      </c>
    </row>
    <row r="13" ht="13.5" customHeight="1" thickBot="1">
      <c r="A13" s="42" t="inlineStr">
        <is>
          <t>Model =</t>
        </is>
      </c>
      <c r="B13" s="43" t="n"/>
      <c r="C13" s="37" t="inlineStr">
        <is>
          <t>Length =</t>
        </is>
      </c>
      <c r="D13" s="45" t="n"/>
      <c r="E13" s="44" t="inlineStr">
        <is>
          <t>Notes:</t>
        </is>
      </c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34" t="n"/>
    </row>
    <row r="14" ht="17" customHeight="1">
      <c r="A14" s="14" t="n"/>
      <c r="B14" s="144" t="inlineStr">
        <is>
          <t>Filter #1</t>
        </is>
      </c>
      <c r="C14" s="160" t="n"/>
      <c r="D14" s="161" t="n"/>
      <c r="E14" s="144" t="inlineStr">
        <is>
          <t>Filter #2</t>
        </is>
      </c>
      <c r="F14" s="160" t="n"/>
      <c r="G14" s="161" t="n"/>
      <c r="H14" s="144" t="inlineStr">
        <is>
          <t>Filter #3</t>
        </is>
      </c>
      <c r="I14" s="160" t="n"/>
      <c r="J14" s="161" t="n"/>
      <c r="K14" s="144" t="inlineStr">
        <is>
          <t>Filter #4</t>
        </is>
      </c>
      <c r="L14" s="160" t="n"/>
      <c r="M14" s="161" t="n"/>
      <c r="N14" s="144" t="inlineStr">
        <is>
          <t>Filter #5</t>
        </is>
      </c>
      <c r="O14" s="160" t="n"/>
      <c r="P14" s="161" t="n"/>
      <c r="Q14" s="144" t="inlineStr">
        <is>
          <t>Filter #6</t>
        </is>
      </c>
      <c r="R14" s="160" t="n"/>
      <c r="S14" s="161" t="n"/>
      <c r="T14" s="144" t="inlineStr">
        <is>
          <t>Filter #7</t>
        </is>
      </c>
      <c r="U14" s="160" t="n"/>
      <c r="V14" s="161" t="n"/>
      <c r="W14" s="144" t="inlineStr">
        <is>
          <t>Filter #8</t>
        </is>
      </c>
      <c r="X14" s="160" t="n"/>
      <c r="Y14" s="161" t="n"/>
      <c r="Z14" s="144" t="inlineStr">
        <is>
          <t>Filter #9</t>
        </is>
      </c>
      <c r="AA14" s="160" t="n"/>
      <c r="AB14" s="161" t="n"/>
      <c r="AC14" s="144" t="inlineStr">
        <is>
          <t>Filter #10</t>
        </is>
      </c>
      <c r="AD14" s="160" t="n"/>
      <c r="AE14" s="161" t="n"/>
      <c r="AF14" s="144" t="inlineStr">
        <is>
          <t>Filter #11</t>
        </is>
      </c>
      <c r="AG14" s="160" t="n"/>
      <c r="AH14" s="161" t="n"/>
      <c r="AI14" s="146" t="inlineStr">
        <is>
          <t>Total CFM</t>
        </is>
      </c>
    </row>
    <row r="15" ht="17" customHeight="1">
      <c r="A15" s="18" t="inlineStr">
        <is>
          <t>Filter Size</t>
        </is>
      </c>
      <c r="B15" s="162" t="inlineStr">
        <is>
          <t>No Filter</t>
        </is>
      </c>
      <c r="C15" s="163" t="n"/>
      <c r="D15" s="105" t="n"/>
      <c r="E15" s="162" t="inlineStr">
        <is>
          <t>No Filter</t>
        </is>
      </c>
      <c r="F15" s="163" t="n"/>
      <c r="G15" s="105" t="n"/>
      <c r="H15" s="162" t="inlineStr">
        <is>
          <t>No Filter</t>
        </is>
      </c>
      <c r="I15" s="163" t="n"/>
      <c r="J15" s="105" t="n"/>
      <c r="K15" s="162" t="inlineStr">
        <is>
          <t>No Filter</t>
        </is>
      </c>
      <c r="L15" s="163" t="n"/>
      <c r="M15" s="105" t="n"/>
      <c r="N15" s="162" t="inlineStr">
        <is>
          <t>No Filter</t>
        </is>
      </c>
      <c r="O15" s="163" t="n"/>
      <c r="P15" s="105" t="n"/>
      <c r="Q15" s="162" t="inlineStr">
        <is>
          <t>No Filter</t>
        </is>
      </c>
      <c r="R15" s="163" t="n"/>
      <c r="S15" s="105" t="n"/>
      <c r="T15" s="162" t="inlineStr">
        <is>
          <t>No Filter</t>
        </is>
      </c>
      <c r="U15" s="163" t="n"/>
      <c r="V15" s="105" t="n"/>
      <c r="W15" s="162" t="inlineStr">
        <is>
          <t>No Filter</t>
        </is>
      </c>
      <c r="X15" s="163" t="n"/>
      <c r="Y15" s="105" t="n"/>
      <c r="Z15" s="162" t="inlineStr">
        <is>
          <t>No Filter</t>
        </is>
      </c>
      <c r="AA15" s="163" t="n"/>
      <c r="AB15" s="105" t="n"/>
      <c r="AC15" s="162" t="inlineStr">
        <is>
          <t>No Filter</t>
        </is>
      </c>
      <c r="AD15" s="163" t="n"/>
      <c r="AE15" s="105" t="n"/>
      <c r="AF15" s="162" t="inlineStr">
        <is>
          <t>No Filter</t>
        </is>
      </c>
      <c r="AG15" s="163" t="n"/>
      <c r="AH15" s="105" t="n"/>
      <c r="AI15" s="5" t="n"/>
    </row>
    <row r="16" ht="17" customHeight="1">
      <c r="A16" s="18" t="inlineStr">
        <is>
          <t>Velocity</t>
        </is>
      </c>
      <c r="B16" s="95" t="n"/>
      <c r="C16" s="102" t="n"/>
      <c r="D16" s="114" t="n"/>
      <c r="E16" s="95" t="n"/>
      <c r="F16" s="102" t="n"/>
      <c r="G16" s="114" t="n"/>
      <c r="H16" s="95" t="n"/>
      <c r="I16" s="102" t="n"/>
      <c r="J16" s="114" t="n"/>
      <c r="K16" s="95" t="n"/>
      <c r="L16" s="102" t="n"/>
      <c r="M16" s="114" t="n"/>
      <c r="N16" s="95" t="n"/>
      <c r="O16" s="102" t="n"/>
      <c r="P16" s="114" t="n"/>
      <c r="Q16" s="95" t="n"/>
      <c r="R16" s="102" t="n"/>
      <c r="S16" s="114" t="n"/>
      <c r="T16" s="95" t="n"/>
      <c r="U16" s="102" t="n"/>
      <c r="V16" s="114" t="n"/>
      <c r="W16" s="95" t="n"/>
      <c r="X16" s="102" t="n"/>
      <c r="Y16" s="114" t="n"/>
      <c r="Z16" s="95" t="n"/>
      <c r="AA16" s="102" t="n"/>
      <c r="AB16" s="114" t="n"/>
      <c r="AC16" s="95" t="n"/>
      <c r="AD16" s="102" t="n"/>
      <c r="AE16" s="114" t="n"/>
      <c r="AF16" s="95" t="n"/>
      <c r="AG16" s="102" t="n"/>
      <c r="AH16" s="114" t="n"/>
      <c r="AI16" s="6" t="n"/>
    </row>
    <row r="17" ht="13.5" customHeight="1" thickBot="1">
      <c r="A17" s="19" t="inlineStr">
        <is>
          <t>CFM</t>
        </is>
      </c>
      <c r="B17" s="137">
        <f>AVERAGE(B16:D16)*VLOOKUP(B15,$AL$7:$AN$9,2, FALSE)*VLOOKUP(B15,$AL$7:$AN$9,3, FALSE)</f>
        <v/>
      </c>
      <c r="C17" s="164" t="n"/>
      <c r="D17" s="165" t="n"/>
      <c r="E17" s="137">
        <f>AVERAGE(E16:G16)*VLOOKUP(E15,$AL$7:$AN$9,2, FALSE)*VLOOKUP(E15,$AL$7:$AN$9,3, FALSE)</f>
        <v/>
      </c>
      <c r="F17" s="164" t="n"/>
      <c r="G17" s="165" t="n"/>
      <c r="H17" s="137">
        <f>AVERAGE(H16:J16)*VLOOKUP(H15,$AL$7:$AN$9,2, FALSE)*VLOOKUP(H15,$AL$7:$AN$9,3, FALSE)</f>
        <v/>
      </c>
      <c r="I17" s="164" t="n"/>
      <c r="J17" s="165" t="n"/>
      <c r="K17" s="137">
        <f>AVERAGE(K16:M16)*VLOOKUP(K15,$AL$7:$AN$9,2, FALSE)*VLOOKUP(K15,$AL$7:$AN$9,3, FALSE)</f>
        <v/>
      </c>
      <c r="L17" s="164" t="n"/>
      <c r="M17" s="165" t="n"/>
      <c r="N17" s="137">
        <f>AVERAGE(N16:P16)*VLOOKUP(N15,$AL$7:$AN$9,2, FALSE)*VLOOKUP(N15,$AL$7:$AN$9,3, FALSE)</f>
        <v/>
      </c>
      <c r="O17" s="164" t="n"/>
      <c r="P17" s="165" t="n"/>
      <c r="Q17" s="137">
        <f>AVERAGE(Q16:S16)*VLOOKUP(Q15,$AL$7:$AN$9,2, FALSE)*VLOOKUP(Q15,$AL$7:$AN$9,3, FALSE)</f>
        <v/>
      </c>
      <c r="R17" s="164" t="n"/>
      <c r="S17" s="165" t="n"/>
      <c r="T17" s="137">
        <f>AVERAGE(T16:V16)*VLOOKUP(T15,$AL$7:$AN$9,2, FALSE)*VLOOKUP(T15,$AL$7:$AN$9,3, FALSE)</f>
        <v/>
      </c>
      <c r="U17" s="164" t="n"/>
      <c r="V17" s="165" t="n"/>
      <c r="W17" s="137">
        <f>AVERAGE(W16:Y16)*VLOOKUP(W15,$AL$7:$AN$9,2, FALSE)*VLOOKUP(W15,$AL$7:$AN$9,3, FALSE)</f>
        <v/>
      </c>
      <c r="X17" s="164" t="n"/>
      <c r="Y17" s="165" t="n"/>
      <c r="Z17" s="137">
        <f>AVERAGE(Z16:AB16)*VLOOKUP(Z15,$AL$7:$AN$9,2, FALSE)*VLOOKUP(Z15,$AL$7:$AN$9,3, FALSE)</f>
        <v/>
      </c>
      <c r="AA17" s="164" t="n"/>
      <c r="AB17" s="165" t="n"/>
      <c r="AC17" s="137">
        <f>AVERAGE(AC16:AE16)*VLOOKUP(AC15,$AL$7:$AN$9,2, FALSE)*VLOOKUP(AC15,$AL$7:$AN$9,3, FALSE)</f>
        <v/>
      </c>
      <c r="AD17" s="164" t="n"/>
      <c r="AE17" s="165" t="n"/>
      <c r="AF17" s="137">
        <f>AVERAGE(AF16:AH16)*VLOOKUP(AF15,$AL$7:$AN$9,2, FALSE)*VLOOKUP(AF15,$AL$7:$AN$9,3, FALSE)</f>
        <v/>
      </c>
      <c r="AG17" s="164" t="n"/>
      <c r="AH17" s="165" t="n"/>
      <c r="AI17" s="113">
        <f>SUM(B17:AH17)</f>
        <v/>
      </c>
    </row>
    <row r="18" ht="13" customHeight="1" thickBot="1"/>
    <row r="19" ht="13.5" customHeight="1" thickBot="1">
      <c r="A19" s="159" t="inlineStr">
        <is>
          <t>Hood Number 3 Information</t>
        </is>
      </c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4" t="n"/>
      <c r="AH19" s="44" t="n"/>
      <c r="AI19" s="34" t="n"/>
    </row>
    <row r="20" ht="13.5" customHeight="1" thickBot="1">
      <c r="A20" s="42" t="inlineStr">
        <is>
          <t>Model =</t>
        </is>
      </c>
      <c r="B20" s="43" t="n"/>
      <c r="C20" s="37" t="inlineStr">
        <is>
          <t>Length =</t>
        </is>
      </c>
      <c r="D20" s="45" t="n"/>
      <c r="E20" s="44" t="inlineStr">
        <is>
          <t>Notes:</t>
        </is>
      </c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  <c r="AE20" s="44" t="n"/>
      <c r="AF20" s="44" t="n"/>
      <c r="AG20" s="44" t="n"/>
      <c r="AH20" s="44" t="n"/>
      <c r="AI20" s="34" t="n"/>
    </row>
    <row r="21" ht="17" customHeight="1">
      <c r="A21" s="14" t="n"/>
      <c r="B21" s="144" t="inlineStr">
        <is>
          <t>Filter #1</t>
        </is>
      </c>
      <c r="C21" s="160" t="n"/>
      <c r="D21" s="161" t="n"/>
      <c r="E21" s="144" t="inlineStr">
        <is>
          <t>Filter #2</t>
        </is>
      </c>
      <c r="F21" s="160" t="n"/>
      <c r="G21" s="161" t="n"/>
      <c r="H21" s="144" t="inlineStr">
        <is>
          <t>Filter #3</t>
        </is>
      </c>
      <c r="I21" s="160" t="n"/>
      <c r="J21" s="161" t="n"/>
      <c r="K21" s="144" t="inlineStr">
        <is>
          <t>Filter #4</t>
        </is>
      </c>
      <c r="L21" s="160" t="n"/>
      <c r="M21" s="161" t="n"/>
      <c r="N21" s="144" t="inlineStr">
        <is>
          <t>Filter #5</t>
        </is>
      </c>
      <c r="O21" s="160" t="n"/>
      <c r="P21" s="161" t="n"/>
      <c r="Q21" s="144" t="inlineStr">
        <is>
          <t>Filter #6</t>
        </is>
      </c>
      <c r="R21" s="160" t="n"/>
      <c r="S21" s="161" t="n"/>
      <c r="T21" s="144" t="inlineStr">
        <is>
          <t>Filter #7</t>
        </is>
      </c>
      <c r="U21" s="160" t="n"/>
      <c r="V21" s="161" t="n"/>
      <c r="W21" s="144" t="inlineStr">
        <is>
          <t>Filter #8</t>
        </is>
      </c>
      <c r="X21" s="160" t="n"/>
      <c r="Y21" s="161" t="n"/>
      <c r="Z21" s="144" t="inlineStr">
        <is>
          <t>Filter #9</t>
        </is>
      </c>
      <c r="AA21" s="160" t="n"/>
      <c r="AB21" s="161" t="n"/>
      <c r="AC21" s="144" t="inlineStr">
        <is>
          <t>Filter #10</t>
        </is>
      </c>
      <c r="AD21" s="160" t="n"/>
      <c r="AE21" s="161" t="n"/>
      <c r="AF21" s="144" t="inlineStr">
        <is>
          <t>Filter #11</t>
        </is>
      </c>
      <c r="AG21" s="160" t="n"/>
      <c r="AH21" s="161" t="n"/>
      <c r="AI21" s="146" t="inlineStr">
        <is>
          <t>Total CFM</t>
        </is>
      </c>
    </row>
    <row r="22" ht="17" customHeight="1">
      <c r="A22" s="18" t="inlineStr">
        <is>
          <t>Filter Size</t>
        </is>
      </c>
      <c r="B22" s="162" t="inlineStr">
        <is>
          <t>No Filter</t>
        </is>
      </c>
      <c r="C22" s="163" t="n"/>
      <c r="D22" s="105" t="n"/>
      <c r="E22" s="162" t="inlineStr">
        <is>
          <t>No Filter</t>
        </is>
      </c>
      <c r="F22" s="163" t="n"/>
      <c r="G22" s="105" t="n"/>
      <c r="H22" s="162" t="inlineStr">
        <is>
          <t>No Filter</t>
        </is>
      </c>
      <c r="I22" s="163" t="n"/>
      <c r="J22" s="105" t="n"/>
      <c r="K22" s="162" t="inlineStr">
        <is>
          <t>No Filter</t>
        </is>
      </c>
      <c r="L22" s="163" t="n"/>
      <c r="M22" s="105" t="n"/>
      <c r="N22" s="162" t="inlineStr">
        <is>
          <t>No Filter</t>
        </is>
      </c>
      <c r="O22" s="163" t="n"/>
      <c r="P22" s="105" t="n"/>
      <c r="Q22" s="162" t="inlineStr">
        <is>
          <t>No Filter</t>
        </is>
      </c>
      <c r="R22" s="163" t="n"/>
      <c r="S22" s="105" t="n"/>
      <c r="T22" s="162" t="inlineStr">
        <is>
          <t>No Filter</t>
        </is>
      </c>
      <c r="U22" s="163" t="n"/>
      <c r="V22" s="105" t="n"/>
      <c r="W22" s="162" t="inlineStr">
        <is>
          <t>No Filter</t>
        </is>
      </c>
      <c r="X22" s="163" t="n"/>
      <c r="Y22" s="105" t="n"/>
      <c r="Z22" s="162" t="inlineStr">
        <is>
          <t>No Filter</t>
        </is>
      </c>
      <c r="AA22" s="163" t="n"/>
      <c r="AB22" s="105" t="n"/>
      <c r="AC22" s="162" t="inlineStr">
        <is>
          <t>No Filter</t>
        </is>
      </c>
      <c r="AD22" s="163" t="n"/>
      <c r="AE22" s="105" t="n"/>
      <c r="AF22" s="162" t="inlineStr">
        <is>
          <t>No Filter</t>
        </is>
      </c>
      <c r="AG22" s="163" t="n"/>
      <c r="AH22" s="105" t="n"/>
      <c r="AI22" s="5" t="n"/>
    </row>
    <row r="23" ht="17" customHeight="1">
      <c r="A23" s="18" t="inlineStr">
        <is>
          <t>Velocity</t>
        </is>
      </c>
      <c r="B23" s="95" t="n"/>
      <c r="C23" s="102" t="n"/>
      <c r="D23" s="114" t="n"/>
      <c r="E23" s="95" t="n"/>
      <c r="F23" s="102" t="n"/>
      <c r="G23" s="114" t="n"/>
      <c r="H23" s="95" t="n"/>
      <c r="I23" s="102" t="n"/>
      <c r="J23" s="114" t="n"/>
      <c r="K23" s="95" t="n"/>
      <c r="L23" s="102" t="n"/>
      <c r="M23" s="114" t="n"/>
      <c r="N23" s="95" t="n"/>
      <c r="O23" s="102" t="n"/>
      <c r="P23" s="114" t="n"/>
      <c r="Q23" s="95" t="n"/>
      <c r="R23" s="102" t="n"/>
      <c r="S23" s="114" t="n"/>
      <c r="T23" s="95" t="n"/>
      <c r="U23" s="102" t="n"/>
      <c r="V23" s="114" t="n"/>
      <c r="W23" s="95" t="n"/>
      <c r="X23" s="102" t="n"/>
      <c r="Y23" s="114" t="n"/>
      <c r="Z23" s="95" t="n"/>
      <c r="AA23" s="102" t="n"/>
      <c r="AB23" s="114" t="n"/>
      <c r="AC23" s="95" t="n"/>
      <c r="AD23" s="102" t="n"/>
      <c r="AE23" s="114" t="n"/>
      <c r="AF23" s="95" t="n"/>
      <c r="AG23" s="102" t="n"/>
      <c r="AH23" s="114" t="n"/>
      <c r="AI23" s="6" t="n"/>
    </row>
    <row r="24" ht="13.5" customHeight="1" thickBot="1">
      <c r="A24" s="19" t="inlineStr">
        <is>
          <t>CFM</t>
        </is>
      </c>
      <c r="B24" s="137">
        <f>AVERAGE(B23:D23)*VLOOKUP(B22,$AL$7:$AN$9,2, FALSE)*VLOOKUP(B22,$AL$7:$AN$9,3, FALSE)</f>
        <v/>
      </c>
      <c r="C24" s="164" t="n"/>
      <c r="D24" s="165" t="n"/>
      <c r="E24" s="137">
        <f>AVERAGE(E23:G23)*VLOOKUP(E22,$AL$7:$AN$9,2, FALSE)*VLOOKUP(E22,$AL$7:$AN$9,3, FALSE)</f>
        <v/>
      </c>
      <c r="F24" s="164" t="n"/>
      <c r="G24" s="165" t="n"/>
      <c r="H24" s="137">
        <f>AVERAGE(H23:J23)*VLOOKUP(H22,$AL$7:$AN$9,2, FALSE)*VLOOKUP(H22,$AL$7:$AN$9,3, FALSE)</f>
        <v/>
      </c>
      <c r="I24" s="164" t="n"/>
      <c r="J24" s="165" t="n"/>
      <c r="K24" s="137">
        <f>AVERAGE(K23:M23)*VLOOKUP(K22,$AL$7:$AN$9,2, FALSE)*VLOOKUP(K22,$AL$7:$AN$9,3, FALSE)</f>
        <v/>
      </c>
      <c r="L24" s="164" t="n"/>
      <c r="M24" s="165" t="n"/>
      <c r="N24" s="137">
        <f>AVERAGE(N23:P23)*VLOOKUP(N22,$AL$7:$AN$9,2, FALSE)*VLOOKUP(N22,$AL$7:$AN$9,3, FALSE)</f>
        <v/>
      </c>
      <c r="O24" s="164" t="n"/>
      <c r="P24" s="165" t="n"/>
      <c r="Q24" s="137">
        <f>AVERAGE(Q23:S23)*VLOOKUP(Q22,$AL$7:$AN$9,2, FALSE)*VLOOKUP(Q22,$AL$7:$AN$9,3, FALSE)</f>
        <v/>
      </c>
      <c r="R24" s="164" t="n"/>
      <c r="S24" s="165" t="n"/>
      <c r="T24" s="137">
        <f>AVERAGE(T23:V23)*VLOOKUP(T22,$AL$7:$AN$9,2, FALSE)*VLOOKUP(T22,$AL$7:$AN$9,3, FALSE)</f>
        <v/>
      </c>
      <c r="U24" s="164" t="n"/>
      <c r="V24" s="165" t="n"/>
      <c r="W24" s="137">
        <f>AVERAGE(W23:Y23)*VLOOKUP(W22,$AL$7:$AN$9,2, FALSE)*VLOOKUP(W22,$AL$7:$AN$9,3, FALSE)</f>
        <v/>
      </c>
      <c r="X24" s="164" t="n"/>
      <c r="Y24" s="165" t="n"/>
      <c r="Z24" s="137">
        <f>AVERAGE(Z23:AB23)*VLOOKUP(Z22,$AL$7:$AN$9,2, FALSE)*VLOOKUP(Z22,$AL$7:$AN$9,3, FALSE)</f>
        <v/>
      </c>
      <c r="AA24" s="164" t="n"/>
      <c r="AB24" s="165" t="n"/>
      <c r="AC24" s="137">
        <f>AVERAGE(AC23:AE23)*VLOOKUP(AC22,$AL$7:$AN$9,2, FALSE)*VLOOKUP(AC22,$AL$7:$AN$9,3, FALSE)</f>
        <v/>
      </c>
      <c r="AD24" s="164" t="n"/>
      <c r="AE24" s="165" t="n"/>
      <c r="AF24" s="137">
        <f>AVERAGE(AF23:AH23)*VLOOKUP(AF22,$AL$7:$AN$9,2, FALSE)*VLOOKUP(AF22,$AL$7:$AN$9,3, FALSE)</f>
        <v/>
      </c>
      <c r="AG24" s="164" t="n"/>
      <c r="AH24" s="165" t="n"/>
      <c r="AI24" s="113">
        <f>SUM(B24:AH24)</f>
        <v/>
      </c>
    </row>
    <row r="25" ht="13" customHeight="1" thickBot="1"/>
    <row r="26" ht="13.5" customHeight="1" thickBot="1">
      <c r="A26" s="159" t="inlineStr">
        <is>
          <t>Hood Number 4 Information</t>
        </is>
      </c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  <c r="AE26" s="44" t="n"/>
      <c r="AF26" s="44" t="n"/>
      <c r="AG26" s="44" t="n"/>
      <c r="AH26" s="44" t="n"/>
      <c r="AI26" s="34" t="n"/>
    </row>
    <row r="27" ht="13.5" customHeight="1" thickBot="1">
      <c r="A27" s="42" t="inlineStr">
        <is>
          <t>Model =</t>
        </is>
      </c>
      <c r="B27" s="43" t="n"/>
      <c r="C27" s="37" t="inlineStr">
        <is>
          <t>Length =</t>
        </is>
      </c>
      <c r="D27" s="45" t="n"/>
      <c r="E27" s="44" t="inlineStr">
        <is>
          <t>Notes:</t>
        </is>
      </c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  <c r="AE27" s="44" t="n"/>
      <c r="AF27" s="44" t="n"/>
      <c r="AG27" s="44" t="n"/>
      <c r="AH27" s="44" t="n"/>
      <c r="AI27" s="34" t="n"/>
    </row>
    <row r="28" ht="17" customHeight="1">
      <c r="A28" s="14" t="n"/>
      <c r="B28" s="144" t="inlineStr">
        <is>
          <t>Filter #1</t>
        </is>
      </c>
      <c r="C28" s="160" t="n"/>
      <c r="D28" s="161" t="n"/>
      <c r="E28" s="144" t="inlineStr">
        <is>
          <t>Filter #2</t>
        </is>
      </c>
      <c r="F28" s="160" t="n"/>
      <c r="G28" s="161" t="n"/>
      <c r="H28" s="144" t="inlineStr">
        <is>
          <t>Filter #3</t>
        </is>
      </c>
      <c r="I28" s="160" t="n"/>
      <c r="J28" s="161" t="n"/>
      <c r="K28" s="144" t="inlineStr">
        <is>
          <t>Filter #4</t>
        </is>
      </c>
      <c r="L28" s="160" t="n"/>
      <c r="M28" s="161" t="n"/>
      <c r="N28" s="144" t="inlineStr">
        <is>
          <t>Filter #5</t>
        </is>
      </c>
      <c r="O28" s="160" t="n"/>
      <c r="P28" s="161" t="n"/>
      <c r="Q28" s="144" t="inlineStr">
        <is>
          <t>Filter #6</t>
        </is>
      </c>
      <c r="R28" s="160" t="n"/>
      <c r="S28" s="161" t="n"/>
      <c r="T28" s="144" t="inlineStr">
        <is>
          <t>Filter #7</t>
        </is>
      </c>
      <c r="U28" s="160" t="n"/>
      <c r="V28" s="161" t="n"/>
      <c r="W28" s="144" t="inlineStr">
        <is>
          <t>Filter #8</t>
        </is>
      </c>
      <c r="X28" s="160" t="n"/>
      <c r="Y28" s="161" t="n"/>
      <c r="Z28" s="144" t="inlineStr">
        <is>
          <t>Filter #9</t>
        </is>
      </c>
      <c r="AA28" s="160" t="n"/>
      <c r="AB28" s="161" t="n"/>
      <c r="AC28" s="144" t="inlineStr">
        <is>
          <t>Filter #10</t>
        </is>
      </c>
      <c r="AD28" s="160" t="n"/>
      <c r="AE28" s="161" t="n"/>
      <c r="AF28" s="144" t="inlineStr">
        <is>
          <t>Filter #11</t>
        </is>
      </c>
      <c r="AG28" s="160" t="n"/>
      <c r="AH28" s="161" t="n"/>
      <c r="AI28" s="146" t="inlineStr">
        <is>
          <t>Total CFM</t>
        </is>
      </c>
    </row>
    <row r="29" ht="17" customHeight="1">
      <c r="A29" s="18" t="inlineStr">
        <is>
          <t>Filter Size</t>
        </is>
      </c>
      <c r="B29" s="162" t="inlineStr">
        <is>
          <t>No Filter</t>
        </is>
      </c>
      <c r="C29" s="163" t="n"/>
      <c r="D29" s="105" t="n"/>
      <c r="E29" s="162" t="inlineStr">
        <is>
          <t>No Filter</t>
        </is>
      </c>
      <c r="F29" s="163" t="n"/>
      <c r="G29" s="105" t="n"/>
      <c r="H29" s="162" t="inlineStr">
        <is>
          <t>No Filter</t>
        </is>
      </c>
      <c r="I29" s="163" t="n"/>
      <c r="J29" s="105" t="n"/>
      <c r="K29" s="162" t="inlineStr">
        <is>
          <t>No Filter</t>
        </is>
      </c>
      <c r="L29" s="163" t="n"/>
      <c r="M29" s="105" t="n"/>
      <c r="N29" s="162" t="inlineStr">
        <is>
          <t>No Filter</t>
        </is>
      </c>
      <c r="O29" s="163" t="n"/>
      <c r="P29" s="105" t="n"/>
      <c r="Q29" s="162" t="inlineStr">
        <is>
          <t>No Filter</t>
        </is>
      </c>
      <c r="R29" s="163" t="n"/>
      <c r="S29" s="105" t="n"/>
      <c r="T29" s="162" t="inlineStr">
        <is>
          <t>No Filter</t>
        </is>
      </c>
      <c r="U29" s="163" t="n"/>
      <c r="V29" s="105" t="n"/>
      <c r="W29" s="162" t="inlineStr">
        <is>
          <t>No Filter</t>
        </is>
      </c>
      <c r="X29" s="163" t="n"/>
      <c r="Y29" s="105" t="n"/>
      <c r="Z29" s="162" t="inlineStr">
        <is>
          <t>No Filter</t>
        </is>
      </c>
      <c r="AA29" s="163" t="n"/>
      <c r="AB29" s="105" t="n"/>
      <c r="AC29" s="162" t="inlineStr">
        <is>
          <t>No Filter</t>
        </is>
      </c>
      <c r="AD29" s="163" t="n"/>
      <c r="AE29" s="105" t="n"/>
      <c r="AF29" s="162" t="inlineStr">
        <is>
          <t>No Filter</t>
        </is>
      </c>
      <c r="AG29" s="163" t="n"/>
      <c r="AH29" s="105" t="n"/>
      <c r="AI29" s="5" t="n"/>
    </row>
    <row r="30" ht="17" customHeight="1">
      <c r="A30" s="18" t="inlineStr">
        <is>
          <t>Velocity</t>
        </is>
      </c>
      <c r="B30" s="95" t="n"/>
      <c r="C30" s="102" t="n"/>
      <c r="D30" s="114" t="n"/>
      <c r="E30" s="95" t="n"/>
      <c r="F30" s="102" t="n"/>
      <c r="G30" s="114" t="n"/>
      <c r="H30" s="95" t="n"/>
      <c r="I30" s="102" t="n"/>
      <c r="J30" s="114" t="n"/>
      <c r="K30" s="95" t="n"/>
      <c r="L30" s="102" t="n"/>
      <c r="M30" s="114" t="n"/>
      <c r="N30" s="95" t="n"/>
      <c r="O30" s="102" t="n"/>
      <c r="P30" s="114" t="n"/>
      <c r="Q30" s="95" t="n"/>
      <c r="R30" s="102" t="n"/>
      <c r="S30" s="114" t="n"/>
      <c r="T30" s="95" t="n"/>
      <c r="U30" s="102" t="n"/>
      <c r="V30" s="114" t="n"/>
      <c r="W30" s="95" t="n"/>
      <c r="X30" s="102" t="n"/>
      <c r="Y30" s="114" t="n"/>
      <c r="Z30" s="95" t="n"/>
      <c r="AA30" s="102" t="n"/>
      <c r="AB30" s="114" t="n"/>
      <c r="AC30" s="95" t="n"/>
      <c r="AD30" s="102" t="n"/>
      <c r="AE30" s="114" t="n"/>
      <c r="AF30" s="95" t="n"/>
      <c r="AG30" s="102" t="n"/>
      <c r="AH30" s="114" t="n"/>
      <c r="AI30" s="6" t="n"/>
    </row>
    <row r="31" ht="13.5" customHeight="1" thickBot="1">
      <c r="A31" s="19" t="inlineStr">
        <is>
          <t>CFM</t>
        </is>
      </c>
      <c r="B31" s="137">
        <f>AVERAGE(B30:D30)*VLOOKUP(B29,$AL$7:$AN$9,2, FALSE)*VLOOKUP(B29,$AL$7:$AN$9,3, FALSE)</f>
        <v/>
      </c>
      <c r="C31" s="164" t="n"/>
      <c r="D31" s="165" t="n"/>
      <c r="E31" s="137">
        <f>AVERAGE(E30:G30)*VLOOKUP(E29,$AL$7:$AN$9,2, FALSE)*VLOOKUP(E29,$AL$7:$AN$9,3, FALSE)</f>
        <v/>
      </c>
      <c r="F31" s="164" t="n"/>
      <c r="G31" s="165" t="n"/>
      <c r="H31" s="137">
        <f>AVERAGE(H30:J30)*VLOOKUP(H29,$AL$7:$AN$9,2, FALSE)*VLOOKUP(H29,$AL$7:$AN$9,3, FALSE)</f>
        <v/>
      </c>
      <c r="I31" s="164" t="n"/>
      <c r="J31" s="165" t="n"/>
      <c r="K31" s="137">
        <f>AVERAGE(K30:M30)*VLOOKUP(K29,$AL$7:$AN$9,2, FALSE)*VLOOKUP(K29,$AL$7:$AN$9,3, FALSE)</f>
        <v/>
      </c>
      <c r="L31" s="164" t="n"/>
      <c r="M31" s="165" t="n"/>
      <c r="N31" s="137">
        <f>AVERAGE(N30:P30)*VLOOKUP(N29,$AL$7:$AN$9,2, FALSE)*VLOOKUP(N29,$AL$7:$AN$9,3, FALSE)</f>
        <v/>
      </c>
      <c r="O31" s="164" t="n"/>
      <c r="P31" s="165" t="n"/>
      <c r="Q31" s="137">
        <f>AVERAGE(Q30:S30)*VLOOKUP(Q29,$AL$7:$AN$9,2, FALSE)*VLOOKUP(Q29,$AL$7:$AN$9,3, FALSE)</f>
        <v/>
      </c>
      <c r="R31" s="164" t="n"/>
      <c r="S31" s="165" t="n"/>
      <c r="T31" s="137">
        <f>AVERAGE(T30:V30)*VLOOKUP(T29,$AL$7:$AN$9,2, FALSE)*VLOOKUP(T29,$AL$7:$AN$9,3, FALSE)</f>
        <v/>
      </c>
      <c r="U31" s="164" t="n"/>
      <c r="V31" s="165" t="n"/>
      <c r="W31" s="137">
        <f>AVERAGE(W30:Y30)*VLOOKUP(W29,$AL$7:$AN$9,2, FALSE)*VLOOKUP(W29,$AL$7:$AN$9,3, FALSE)</f>
        <v/>
      </c>
      <c r="X31" s="164" t="n"/>
      <c r="Y31" s="165" t="n"/>
      <c r="Z31" s="137">
        <f>AVERAGE(Z30:AB30)*VLOOKUP(Z29,$AL$7:$AN$9,2, FALSE)*VLOOKUP(Z29,$AL$7:$AN$9,3, FALSE)</f>
        <v/>
      </c>
      <c r="AA31" s="164" t="n"/>
      <c r="AB31" s="165" t="n"/>
      <c r="AC31" s="137">
        <f>AVERAGE(AC30:AE30)*VLOOKUP(AC29,$AL$7:$AN$9,2, FALSE)*VLOOKUP(AC29,$AL$7:$AN$9,3, FALSE)</f>
        <v/>
      </c>
      <c r="AD31" s="164" t="n"/>
      <c r="AE31" s="165" t="n"/>
      <c r="AF31" s="137">
        <f>AVERAGE(AF30:AH30)*VLOOKUP(AF29,$AL$7:$AN$9,2, FALSE)*VLOOKUP(AF29,$AL$7:$AN$9,3, FALSE)</f>
        <v/>
      </c>
      <c r="AG31" s="164" t="n"/>
      <c r="AH31" s="165" t="n"/>
      <c r="AI31" s="113">
        <f>SUM(B31:AH31)</f>
        <v/>
      </c>
    </row>
    <row r="32" ht="17" customHeight="1"/>
    <row r="33" ht="17" customHeight="1">
      <c r="A33" s="151" t="inlineStr">
        <is>
          <t>Total Exhaust CFM's =</t>
        </is>
      </c>
      <c r="B33" s="140">
        <f>SUM(AI:AI)</f>
        <v/>
      </c>
      <c r="D33" s="115" t="inlineStr">
        <is>
          <t>CFM</t>
        </is>
      </c>
    </row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7" customHeight="1"/>
  </sheetData>
  <mergeCells count="139">
    <mergeCell ref="Q14:S14"/>
    <mergeCell ref="Q29:S29"/>
    <mergeCell ref="AC14:AE14"/>
    <mergeCell ref="E31:G31"/>
    <mergeCell ref="N17:P17"/>
    <mergeCell ref="Q31:S31"/>
    <mergeCell ref="H17:J17"/>
    <mergeCell ref="E15:G15"/>
    <mergeCell ref="W7:Y7"/>
    <mergeCell ref="Z17:AB17"/>
    <mergeCell ref="B28:D28"/>
    <mergeCell ref="Q15:S15"/>
    <mergeCell ref="H22:J22"/>
    <mergeCell ref="AF14:AH14"/>
    <mergeCell ref="N28:P28"/>
    <mergeCell ref="A1:AI1"/>
    <mergeCell ref="T22:V22"/>
    <mergeCell ref="AF17:AH17"/>
    <mergeCell ref="T31:V31"/>
    <mergeCell ref="K17:M17"/>
    <mergeCell ref="E7:G7"/>
    <mergeCell ref="W8:Y8"/>
    <mergeCell ref="T28:V28"/>
    <mergeCell ref="K10:M10"/>
    <mergeCell ref="AF28:AH28"/>
    <mergeCell ref="Z31:AB31"/>
    <mergeCell ref="A12:AI12"/>
    <mergeCell ref="H29:J29"/>
    <mergeCell ref="T14:V14"/>
    <mergeCell ref="T29:V29"/>
    <mergeCell ref="A5:AI5"/>
    <mergeCell ref="B33:C33"/>
    <mergeCell ref="H31:J31"/>
    <mergeCell ref="K29:M29"/>
    <mergeCell ref="H21:J21"/>
    <mergeCell ref="Z7:AB7"/>
    <mergeCell ref="E28:G28"/>
    <mergeCell ref="AF10:AH10"/>
    <mergeCell ref="K22:M22"/>
    <mergeCell ref="B8:D8"/>
    <mergeCell ref="K31:M31"/>
    <mergeCell ref="B17:D17"/>
    <mergeCell ref="W22:Y22"/>
    <mergeCell ref="N8:P8"/>
    <mergeCell ref="W31:Y31"/>
    <mergeCell ref="H7:J7"/>
    <mergeCell ref="Z8:AB8"/>
    <mergeCell ref="AC29:AE29"/>
    <mergeCell ref="B10:D10"/>
    <mergeCell ref="K8:M8"/>
    <mergeCell ref="W21:Y21"/>
    <mergeCell ref="Q22:S22"/>
    <mergeCell ref="N10:P10"/>
    <mergeCell ref="K14:M14"/>
    <mergeCell ref="AC22:AE22"/>
    <mergeCell ref="T8:V8"/>
    <mergeCell ref="AC31:AE31"/>
    <mergeCell ref="T17:V17"/>
    <mergeCell ref="AF8:AH8"/>
    <mergeCell ref="K7:M7"/>
    <mergeCell ref="AC21:AE21"/>
    <mergeCell ref="Z28:AB28"/>
    <mergeCell ref="AF22:AH22"/>
    <mergeCell ref="Q7:S7"/>
    <mergeCell ref="AC7:AE7"/>
    <mergeCell ref="W10:Y10"/>
    <mergeCell ref="E24:G24"/>
    <mergeCell ref="W24:Y24"/>
    <mergeCell ref="B31:D31"/>
    <mergeCell ref="Q24:S24"/>
    <mergeCell ref="N22:P22"/>
    <mergeCell ref="E8:G8"/>
    <mergeCell ref="E17:G17"/>
    <mergeCell ref="B21:D21"/>
    <mergeCell ref="Q8:S8"/>
    <mergeCell ref="N21:P21"/>
    <mergeCell ref="AF29:AH29"/>
    <mergeCell ref="E10:G10"/>
    <mergeCell ref="B14:D14"/>
    <mergeCell ref="Q10:S10"/>
    <mergeCell ref="N14:P14"/>
    <mergeCell ref="T21:V21"/>
    <mergeCell ref="AF21:AH21"/>
    <mergeCell ref="T7:V7"/>
    <mergeCell ref="Q17:S17"/>
    <mergeCell ref="H15:J15"/>
    <mergeCell ref="AF7:AH7"/>
    <mergeCell ref="Z10:AB10"/>
    <mergeCell ref="H24:J24"/>
    <mergeCell ref="E22:G22"/>
    <mergeCell ref="W14:Y14"/>
    <mergeCell ref="Z24:AB24"/>
    <mergeCell ref="W29:Y29"/>
    <mergeCell ref="H8:J8"/>
    <mergeCell ref="E21:G21"/>
    <mergeCell ref="K15:M15"/>
    <mergeCell ref="Q21:S21"/>
    <mergeCell ref="AF24:AH24"/>
    <mergeCell ref="K24:M24"/>
    <mergeCell ref="H10:J10"/>
    <mergeCell ref="E14:G14"/>
    <mergeCell ref="W15:Y15"/>
    <mergeCell ref="B22:D22"/>
    <mergeCell ref="K21:M21"/>
    <mergeCell ref="AC15:AE15"/>
    <mergeCell ref="A19:AI19"/>
    <mergeCell ref="AC24:AE24"/>
    <mergeCell ref="Z22:AB22"/>
    <mergeCell ref="AC8:AE8"/>
    <mergeCell ref="B29:D29"/>
    <mergeCell ref="Z21:AB21"/>
    <mergeCell ref="AF15:AH15"/>
    <mergeCell ref="N29:P29"/>
    <mergeCell ref="AC10:AE10"/>
    <mergeCell ref="Z14:AB14"/>
    <mergeCell ref="H28:J28"/>
    <mergeCell ref="Z29:AB29"/>
    <mergeCell ref="N31:P31"/>
    <mergeCell ref="B15:D15"/>
    <mergeCell ref="W17:Y17"/>
    <mergeCell ref="AF31:AH31"/>
    <mergeCell ref="B24:D24"/>
    <mergeCell ref="N15:P15"/>
    <mergeCell ref="N24:P24"/>
    <mergeCell ref="K28:M28"/>
    <mergeCell ref="H14:J14"/>
    <mergeCell ref="Z15:AB15"/>
    <mergeCell ref="W28:Y28"/>
    <mergeCell ref="AC17:AE17"/>
    <mergeCell ref="B7:D7"/>
    <mergeCell ref="A26:AI26"/>
    <mergeCell ref="T15:V15"/>
    <mergeCell ref="T24:V24"/>
    <mergeCell ref="N7:P7"/>
    <mergeCell ref="Q28:S28"/>
    <mergeCell ref="AK5:AN5"/>
    <mergeCell ref="AC28:AE28"/>
    <mergeCell ref="E29:G29"/>
    <mergeCell ref="T10:V10"/>
  </mergeCells>
  <dataValidations count="1">
    <dataValidation sqref="B8:AH8 B15:AH15 B22:AH22 B29:AH29" showDropDown="0" showInputMessage="1" showErrorMessage="1" allowBlank="1" type="list">
      <formula1>$AL$7:$AL$9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33"/>
  <sheetViews>
    <sheetView workbookViewId="0">
      <selection activeCell="D33" sqref="D33"/>
    </sheetView>
  </sheetViews>
  <sheetFormatPr baseColWidth="8" defaultRowHeight="12.5"/>
  <cols>
    <col width="20.7265625" bestFit="1" customWidth="1" min="1" max="1"/>
    <col width="4.26953125" customWidth="1" style="1" min="2" max="2"/>
    <col width="4.26953125" customWidth="1" min="3" max="34"/>
    <col width="10.7265625" customWidth="1" min="35" max="35"/>
    <col width="8.81640625" customWidth="1" min="36" max="36"/>
    <col width="9.36328125" customWidth="1" min="37" max="37"/>
    <col width="9.08984375" customWidth="1" min="38" max="38"/>
    <col width="9.26953125" customWidth="1" min="39" max="39"/>
    <col width="8" customWidth="1" min="40" max="40"/>
    <col width="9.08984375" customWidth="1" min="41" max="41"/>
  </cols>
  <sheetData>
    <row r="1" ht="17.5" customHeight="1">
      <c r="A1" s="125" t="inlineStr">
        <is>
          <t>Condensate Baffle Filter CFM Worksheet for Evergreen Airfoil</t>
        </is>
      </c>
    </row>
    <row r="2" ht="17" customHeight="1">
      <c r="A2" s="151" t="inlineStr">
        <is>
          <t>Job Number =</t>
        </is>
      </c>
      <c r="B2" s="20" t="n"/>
      <c r="O2" s="70" t="inlineStr">
        <is>
          <t>3 Readings per Filter (Different Rows and Columns)</t>
        </is>
      </c>
      <c r="AI2" s="70" t="inlineStr">
        <is>
          <t>rev. 0</t>
        </is>
      </c>
    </row>
    <row r="3" ht="17" customHeight="1">
      <c r="A3" s="151" t="inlineStr">
        <is>
          <t>Job Name =</t>
        </is>
      </c>
      <c r="B3" s="20" t="n"/>
    </row>
    <row r="4" ht="13" customHeight="1" thickBot="1"/>
    <row r="5" ht="13.5" customHeight="1" thickBot="1">
      <c r="A5" s="158" t="inlineStr">
        <is>
          <t>Hood Number 1 Information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2" t="n"/>
      <c r="AK5" s="156" t="inlineStr">
        <is>
          <t>Filter Information</t>
        </is>
      </c>
      <c r="AL5" s="21" t="n"/>
      <c r="AM5" s="21" t="n"/>
      <c r="AN5" s="22" t="n"/>
    </row>
    <row r="6" ht="13.5" customHeight="1" thickBot="1">
      <c r="A6" s="42" t="inlineStr">
        <is>
          <t>Model =</t>
        </is>
      </c>
      <c r="B6" s="51" t="n"/>
      <c r="C6" s="52" t="inlineStr">
        <is>
          <t>Length =</t>
        </is>
      </c>
      <c r="D6" s="53" t="n"/>
      <c r="E6" s="21" t="inlineStr">
        <is>
          <t>Notes:</t>
        </is>
      </c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2" t="n"/>
      <c r="AK6" s="31" t="inlineStr">
        <is>
          <t>Reference</t>
        </is>
      </c>
      <c r="AL6" s="32" t="inlineStr">
        <is>
          <t>Filter Size</t>
        </is>
      </c>
      <c r="AM6" s="32" t="inlineStr">
        <is>
          <t>Free Area</t>
        </is>
      </c>
      <c r="AN6" s="33" t="inlineStr">
        <is>
          <t>K Factor</t>
        </is>
      </c>
    </row>
    <row r="7" ht="17" customHeight="1">
      <c r="A7" s="39" t="n"/>
      <c r="B7" s="144" t="inlineStr">
        <is>
          <t>Filter #1</t>
        </is>
      </c>
      <c r="C7" s="160" t="n"/>
      <c r="D7" s="161" t="n"/>
      <c r="E7" s="144" t="inlineStr">
        <is>
          <t>Filter #2</t>
        </is>
      </c>
      <c r="F7" s="160" t="n"/>
      <c r="G7" s="161" t="n"/>
      <c r="H7" s="144" t="inlineStr">
        <is>
          <t>Filter #3</t>
        </is>
      </c>
      <c r="I7" s="160" t="n"/>
      <c r="J7" s="161" t="n"/>
      <c r="K7" s="144" t="inlineStr">
        <is>
          <t>Filter #4</t>
        </is>
      </c>
      <c r="L7" s="160" t="n"/>
      <c r="M7" s="161" t="n"/>
      <c r="N7" s="144" t="inlineStr">
        <is>
          <t>Filter #5</t>
        </is>
      </c>
      <c r="O7" s="160" t="n"/>
      <c r="P7" s="161" t="n"/>
      <c r="Q7" s="144" t="inlineStr">
        <is>
          <t>Filter #6</t>
        </is>
      </c>
      <c r="R7" s="160" t="n"/>
      <c r="S7" s="161" t="n"/>
      <c r="T7" s="144" t="inlineStr">
        <is>
          <t>Filter #7</t>
        </is>
      </c>
      <c r="U7" s="160" t="n"/>
      <c r="V7" s="161" t="n"/>
      <c r="W7" s="144" t="inlineStr">
        <is>
          <t>Filter #8</t>
        </is>
      </c>
      <c r="X7" s="160" t="n"/>
      <c r="Y7" s="161" t="n"/>
      <c r="Z7" s="144" t="inlineStr">
        <is>
          <t>Filter #9</t>
        </is>
      </c>
      <c r="AA7" s="160" t="n"/>
      <c r="AB7" s="161" t="n"/>
      <c r="AC7" s="144" t="inlineStr">
        <is>
          <t>Filter #10</t>
        </is>
      </c>
      <c r="AD7" s="160" t="n"/>
      <c r="AE7" s="161" t="n"/>
      <c r="AF7" s="144" t="inlineStr">
        <is>
          <t>Filter #11</t>
        </is>
      </c>
      <c r="AG7" s="160" t="n"/>
      <c r="AH7" s="161" t="n"/>
      <c r="AI7" s="146" t="inlineStr">
        <is>
          <t>Total CFM</t>
        </is>
      </c>
      <c r="AK7" s="54" t="n">
        <v>1</v>
      </c>
      <c r="AL7" s="3" t="inlineStr">
        <is>
          <t>No Filter</t>
        </is>
      </c>
      <c r="AM7" s="3" t="n">
        <v>0</v>
      </c>
      <c r="AN7" s="6" t="n">
        <v>0</v>
      </c>
    </row>
    <row r="8" ht="17" customHeight="1">
      <c r="A8" s="18" t="inlineStr">
        <is>
          <t>Filter Size</t>
        </is>
      </c>
      <c r="B8" s="162" t="inlineStr">
        <is>
          <t>No Filter</t>
        </is>
      </c>
      <c r="C8" s="163" t="n"/>
      <c r="D8" s="105" t="n"/>
      <c r="E8" s="162" t="inlineStr">
        <is>
          <t>No Filter</t>
        </is>
      </c>
      <c r="F8" s="163" t="n"/>
      <c r="G8" s="105" t="n"/>
      <c r="H8" s="162" t="inlineStr">
        <is>
          <t>No Filter</t>
        </is>
      </c>
      <c r="I8" s="163" t="n"/>
      <c r="J8" s="105" t="n"/>
      <c r="K8" s="162" t="inlineStr">
        <is>
          <t>No Filter</t>
        </is>
      </c>
      <c r="L8" s="163" t="n"/>
      <c r="M8" s="105" t="n"/>
      <c r="N8" s="162" t="inlineStr">
        <is>
          <t>No Filter</t>
        </is>
      </c>
      <c r="O8" s="163" t="n"/>
      <c r="P8" s="105" t="n"/>
      <c r="Q8" s="162" t="inlineStr">
        <is>
          <t>No Filter</t>
        </is>
      </c>
      <c r="R8" s="163" t="n"/>
      <c r="S8" s="105" t="n"/>
      <c r="T8" s="162" t="inlineStr">
        <is>
          <t>No Filter</t>
        </is>
      </c>
      <c r="U8" s="163" t="n"/>
      <c r="V8" s="105" t="n"/>
      <c r="W8" s="162" t="inlineStr">
        <is>
          <t>No Filter</t>
        </is>
      </c>
      <c r="X8" s="163" t="n"/>
      <c r="Y8" s="105" t="n"/>
      <c r="Z8" s="162" t="inlineStr">
        <is>
          <t>No Filter</t>
        </is>
      </c>
      <c r="AA8" s="163" t="n"/>
      <c r="AB8" s="105" t="n"/>
      <c r="AC8" s="162" t="inlineStr">
        <is>
          <t>No Filter</t>
        </is>
      </c>
      <c r="AD8" s="163" t="n"/>
      <c r="AE8" s="105" t="n"/>
      <c r="AF8" s="162" t="inlineStr">
        <is>
          <t>No Filter</t>
        </is>
      </c>
      <c r="AG8" s="163" t="n"/>
      <c r="AH8" s="105" t="n"/>
      <c r="AI8" s="5" t="n"/>
      <c r="AK8" s="54" t="n">
        <v>2</v>
      </c>
      <c r="AL8" s="3" t="inlineStr">
        <is>
          <t>10" x 16"</t>
        </is>
      </c>
      <c r="AM8" s="3" t="n">
        <v>0.131</v>
      </c>
      <c r="AN8" s="6" t="n">
        <v>1</v>
      </c>
    </row>
    <row r="9" ht="17" customHeight="1">
      <c r="A9" s="18" t="inlineStr">
        <is>
          <t>Velocity</t>
        </is>
      </c>
      <c r="B9" s="95" t="n"/>
      <c r="C9" s="102" t="n"/>
      <c r="D9" s="114" t="n"/>
      <c r="E9" s="95" t="n"/>
      <c r="F9" s="102" t="n"/>
      <c r="G9" s="114" t="n"/>
      <c r="H9" s="95" t="n"/>
      <c r="I9" s="102" t="n"/>
      <c r="J9" s="114" t="n"/>
      <c r="K9" s="95" t="n"/>
      <c r="L9" s="102" t="n"/>
      <c r="M9" s="114" t="n"/>
      <c r="N9" s="95" t="n"/>
      <c r="O9" s="102" t="n"/>
      <c r="P9" s="114" t="n"/>
      <c r="Q9" s="95" t="n"/>
      <c r="R9" s="102" t="n"/>
      <c r="S9" s="114" t="n"/>
      <c r="T9" s="95" t="n"/>
      <c r="U9" s="102" t="n"/>
      <c r="V9" s="114" t="n"/>
      <c r="W9" s="95" t="n"/>
      <c r="X9" s="102" t="n"/>
      <c r="Y9" s="114" t="n"/>
      <c r="Z9" s="95" t="n"/>
      <c r="AA9" s="102" t="n"/>
      <c r="AB9" s="114" t="n"/>
      <c r="AC9" s="95" t="n"/>
      <c r="AD9" s="102" t="n"/>
      <c r="AE9" s="114" t="n"/>
      <c r="AF9" s="95" t="n"/>
      <c r="AG9" s="102" t="n"/>
      <c r="AH9" s="114" t="n"/>
      <c r="AI9" s="6" t="n"/>
      <c r="AK9" s="54" t="n">
        <v>3</v>
      </c>
      <c r="AL9" s="3" t="inlineStr">
        <is>
          <t>10" x 20"</t>
        </is>
      </c>
      <c r="AM9" s="3" t="n">
        <v>0.196</v>
      </c>
      <c r="AN9" s="6" t="n">
        <v>1</v>
      </c>
    </row>
    <row r="10" ht="13.5" customHeight="1" thickBot="1">
      <c r="A10" s="19" t="inlineStr">
        <is>
          <t>CFM</t>
        </is>
      </c>
      <c r="B10" s="137">
        <f>AVERAGE(B9:D9)*VLOOKUP(B8,$AL$7:$AN$15,2, FALSE)*VLOOKUP(B8,$AL$7:$AN$15,3, FALSE)</f>
        <v/>
      </c>
      <c r="C10" s="164" t="n"/>
      <c r="D10" s="165" t="n"/>
      <c r="E10" s="137">
        <f>AVERAGE(E9:G9)*VLOOKUP(E8,$AL$7:$AN$15,2, FALSE)*VLOOKUP(E8,$AL$7:$AN$15,3, FALSE)</f>
        <v/>
      </c>
      <c r="F10" s="164" t="n"/>
      <c r="G10" s="165" t="n"/>
      <c r="H10" s="137">
        <f>AVERAGE(H9:J9)*VLOOKUP(H8,$AL$7:$AN$15,2, FALSE)*VLOOKUP(H8,$AL$7:$AN$15,3, FALSE)</f>
        <v/>
      </c>
      <c r="I10" s="164" t="n"/>
      <c r="J10" s="165" t="n"/>
      <c r="K10" s="137">
        <f>AVERAGE(K9:M9)*VLOOKUP(K8,$AL$7:$AN$15,2, FALSE)*VLOOKUP(K8,$AL$7:$AN$15,3, FALSE)</f>
        <v/>
      </c>
      <c r="L10" s="164" t="n"/>
      <c r="M10" s="165" t="n"/>
      <c r="N10" s="137">
        <f>AVERAGE(N9:P9)*VLOOKUP(N8,$AL$7:$AN$15,2, FALSE)*VLOOKUP(N8,$AL$7:$AN$15,3, FALSE)</f>
        <v/>
      </c>
      <c r="O10" s="164" t="n"/>
      <c r="P10" s="165" t="n"/>
      <c r="Q10" s="137">
        <f>AVERAGE(Q9:S9)*VLOOKUP(Q8,$AL$7:$AN$15,2, FALSE)*VLOOKUP(Q8,$AL$7:$AN$15,3, FALSE)</f>
        <v/>
      </c>
      <c r="R10" s="164" t="n"/>
      <c r="S10" s="165" t="n"/>
      <c r="T10" s="137">
        <f>AVERAGE(T9:V9)*VLOOKUP(T8,$AL$7:$AN$15,2, FALSE)*VLOOKUP(T8,$AL$7:$AN$15,3, FALSE)</f>
        <v/>
      </c>
      <c r="U10" s="164" t="n"/>
      <c r="V10" s="165" t="n"/>
      <c r="W10" s="137">
        <f>AVERAGE(W9:Y9)*VLOOKUP(W8,$AL$7:$AN$15,2, FALSE)*VLOOKUP(W8,$AL$7:$AN$15,3, FALSE)</f>
        <v/>
      </c>
      <c r="X10" s="164" t="n"/>
      <c r="Y10" s="165" t="n"/>
      <c r="Z10" s="137">
        <f>AVERAGE(Z9:AB9)*VLOOKUP(Z8,$AL$7:$AN$15,2, FALSE)*VLOOKUP(Z8,$AL$7:$AN$15,3, FALSE)</f>
        <v/>
      </c>
      <c r="AA10" s="164" t="n"/>
      <c r="AB10" s="165" t="n"/>
      <c r="AC10" s="137">
        <f>AVERAGE(AC9:AE9)*VLOOKUP(AC8,$AL$7:$AN$15,2, FALSE)*VLOOKUP(AC8,$AL$7:$AN$15,3, FALSE)</f>
        <v/>
      </c>
      <c r="AD10" s="164" t="n"/>
      <c r="AE10" s="165" t="n"/>
      <c r="AF10" s="137">
        <f>AVERAGE(AF9:AH9)*VLOOKUP(AF8,$AL$7:$AN$15,2, FALSE)*VLOOKUP(AF8,$AL$7:$AN$15,3, FALSE)</f>
        <v/>
      </c>
      <c r="AG10" s="164" t="n"/>
      <c r="AH10" s="165" t="n"/>
      <c r="AI10" s="113">
        <f>SUM(B10:AH10)</f>
        <v/>
      </c>
      <c r="AK10" s="54" t="n">
        <v>4</v>
      </c>
      <c r="AL10" s="3" t="inlineStr">
        <is>
          <t>12" x 16"</t>
        </is>
      </c>
      <c r="AM10" s="3" t="n">
        <v>0.131</v>
      </c>
      <c r="AN10" s="6" t="n">
        <v>1</v>
      </c>
    </row>
    <row r="11" ht="13" customHeight="1" thickBot="1">
      <c r="AK11" s="54" t="n">
        <v>5</v>
      </c>
      <c r="AL11" s="3" t="inlineStr">
        <is>
          <t>12" x 20"</t>
        </is>
      </c>
      <c r="AM11" s="3" t="n">
        <v>0.196</v>
      </c>
      <c r="AN11" s="6" t="n">
        <v>1</v>
      </c>
    </row>
    <row r="12" ht="13.5" customHeight="1" thickBot="1">
      <c r="A12" s="159" t="inlineStr">
        <is>
          <t>Hood Number 2 Information</t>
        </is>
      </c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  <c r="AE12" s="44" t="n"/>
      <c r="AF12" s="44" t="n"/>
      <c r="AG12" s="44" t="n"/>
      <c r="AH12" s="44" t="n"/>
      <c r="AI12" s="34" t="n"/>
      <c r="AK12" s="54" t="n">
        <v>6</v>
      </c>
      <c r="AL12" s="3" t="inlineStr">
        <is>
          <t>16" x 16"</t>
        </is>
      </c>
      <c r="AM12" s="3" t="n">
        <v>0.131</v>
      </c>
      <c r="AN12" s="6" t="n">
        <v>1</v>
      </c>
    </row>
    <row r="13" ht="13.5" customHeight="1" thickBot="1">
      <c r="A13" s="42" t="inlineStr">
        <is>
          <t>Model =</t>
        </is>
      </c>
      <c r="B13" s="43" t="n"/>
      <c r="C13" s="37" t="inlineStr">
        <is>
          <t>Length =</t>
        </is>
      </c>
      <c r="D13" s="45" t="n"/>
      <c r="E13" s="44" t="inlineStr">
        <is>
          <t>Notes:</t>
        </is>
      </c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34" t="n"/>
      <c r="AK13" s="54" t="n">
        <v>7</v>
      </c>
      <c r="AL13" s="3" t="inlineStr">
        <is>
          <t>16" x 20"</t>
        </is>
      </c>
      <c r="AM13" s="3" t="n">
        <v>0.196</v>
      </c>
      <c r="AN13" s="6" t="n">
        <v>1</v>
      </c>
    </row>
    <row r="14" ht="17" customHeight="1">
      <c r="A14" s="14" t="n"/>
      <c r="B14" s="144" t="inlineStr">
        <is>
          <t>Filter #1</t>
        </is>
      </c>
      <c r="C14" s="160" t="n"/>
      <c r="D14" s="161" t="n"/>
      <c r="E14" s="144" t="inlineStr">
        <is>
          <t>Filter #2</t>
        </is>
      </c>
      <c r="F14" s="160" t="n"/>
      <c r="G14" s="161" t="n"/>
      <c r="H14" s="144" t="inlineStr">
        <is>
          <t>Filter #3</t>
        </is>
      </c>
      <c r="I14" s="160" t="n"/>
      <c r="J14" s="161" t="n"/>
      <c r="K14" s="144" t="inlineStr">
        <is>
          <t>Filter #4</t>
        </is>
      </c>
      <c r="L14" s="160" t="n"/>
      <c r="M14" s="161" t="n"/>
      <c r="N14" s="144" t="inlineStr">
        <is>
          <t>Filter #5</t>
        </is>
      </c>
      <c r="O14" s="160" t="n"/>
      <c r="P14" s="161" t="n"/>
      <c r="Q14" s="144" t="inlineStr">
        <is>
          <t>Filter #6</t>
        </is>
      </c>
      <c r="R14" s="160" t="n"/>
      <c r="S14" s="161" t="n"/>
      <c r="T14" s="144" t="inlineStr">
        <is>
          <t>Filter #7</t>
        </is>
      </c>
      <c r="U14" s="160" t="n"/>
      <c r="V14" s="161" t="n"/>
      <c r="W14" s="144" t="inlineStr">
        <is>
          <t>Filter #8</t>
        </is>
      </c>
      <c r="X14" s="160" t="n"/>
      <c r="Y14" s="161" t="n"/>
      <c r="Z14" s="144" t="inlineStr">
        <is>
          <t>Filter #9</t>
        </is>
      </c>
      <c r="AA14" s="160" t="n"/>
      <c r="AB14" s="161" t="n"/>
      <c r="AC14" s="144" t="inlineStr">
        <is>
          <t>Filter #10</t>
        </is>
      </c>
      <c r="AD14" s="160" t="n"/>
      <c r="AE14" s="161" t="n"/>
      <c r="AF14" s="144" t="inlineStr">
        <is>
          <t>Filter #11</t>
        </is>
      </c>
      <c r="AG14" s="160" t="n"/>
      <c r="AH14" s="161" t="n"/>
      <c r="AI14" s="146" t="inlineStr">
        <is>
          <t>Total CFM</t>
        </is>
      </c>
      <c r="AK14" s="69" t="n">
        <v>8</v>
      </c>
      <c r="AL14" s="48" t="inlineStr">
        <is>
          <t>20" x 16"</t>
        </is>
      </c>
      <c r="AM14" s="48" t="n">
        <v>0.262</v>
      </c>
      <c r="AN14" s="49" t="n">
        <v>1</v>
      </c>
    </row>
    <row r="15" ht="13.5" customHeight="1" thickBot="1">
      <c r="A15" s="18" t="inlineStr">
        <is>
          <t>Filter Size</t>
        </is>
      </c>
      <c r="B15" s="162" t="inlineStr">
        <is>
          <t>No Filter</t>
        </is>
      </c>
      <c r="C15" s="163" t="n"/>
      <c r="D15" s="105" t="n"/>
      <c r="E15" s="162" t="inlineStr">
        <is>
          <t>No Filter</t>
        </is>
      </c>
      <c r="F15" s="163" t="n"/>
      <c r="G15" s="105" t="n"/>
      <c r="H15" s="162" t="inlineStr">
        <is>
          <t>No Filter</t>
        </is>
      </c>
      <c r="I15" s="163" t="n"/>
      <c r="J15" s="105" t="n"/>
      <c r="K15" s="162" t="inlineStr">
        <is>
          <t>No Filter</t>
        </is>
      </c>
      <c r="L15" s="163" t="n"/>
      <c r="M15" s="105" t="n"/>
      <c r="N15" s="162" t="inlineStr">
        <is>
          <t>No Filter</t>
        </is>
      </c>
      <c r="O15" s="163" t="n"/>
      <c r="P15" s="105" t="n"/>
      <c r="Q15" s="162" t="inlineStr">
        <is>
          <t>No Filter</t>
        </is>
      </c>
      <c r="R15" s="163" t="n"/>
      <c r="S15" s="105" t="n"/>
      <c r="T15" s="162" t="inlineStr">
        <is>
          <t>No Filter</t>
        </is>
      </c>
      <c r="U15" s="163" t="n"/>
      <c r="V15" s="105" t="n"/>
      <c r="W15" s="162" t="inlineStr">
        <is>
          <t>No Filter</t>
        </is>
      </c>
      <c r="X15" s="163" t="n"/>
      <c r="Y15" s="105" t="n"/>
      <c r="Z15" s="162" t="inlineStr">
        <is>
          <t>No Filter</t>
        </is>
      </c>
      <c r="AA15" s="163" t="n"/>
      <c r="AB15" s="105" t="n"/>
      <c r="AC15" s="162" t="inlineStr">
        <is>
          <t>No Filter</t>
        </is>
      </c>
      <c r="AD15" s="163" t="n"/>
      <c r="AE15" s="105" t="n"/>
      <c r="AF15" s="162" t="inlineStr">
        <is>
          <t>No Filter</t>
        </is>
      </c>
      <c r="AG15" s="163" t="n"/>
      <c r="AH15" s="105" t="n"/>
      <c r="AI15" s="5" t="n"/>
      <c r="AK15" s="55" t="n">
        <v>9</v>
      </c>
      <c r="AL15" s="8" t="inlineStr">
        <is>
          <t>20" x 20"</t>
        </is>
      </c>
      <c r="AM15" s="8" t="n">
        <v>0.349</v>
      </c>
      <c r="AN15" s="9" t="n">
        <v>1</v>
      </c>
    </row>
    <row r="16" ht="17" customHeight="1">
      <c r="A16" s="18" t="inlineStr">
        <is>
          <t>Velocity</t>
        </is>
      </c>
      <c r="B16" s="95" t="n"/>
      <c r="C16" s="102" t="n"/>
      <c r="D16" s="114" t="n"/>
      <c r="E16" s="95" t="n"/>
      <c r="F16" s="102" t="n"/>
      <c r="G16" s="114" t="n"/>
      <c r="H16" s="95" t="n"/>
      <c r="I16" s="102" t="n"/>
      <c r="J16" s="114" t="n"/>
      <c r="K16" s="95" t="n"/>
      <c r="L16" s="102" t="n"/>
      <c r="M16" s="114" t="n"/>
      <c r="N16" s="95" t="n"/>
      <c r="O16" s="102" t="n"/>
      <c r="P16" s="114" t="n"/>
      <c r="Q16" s="95" t="n"/>
      <c r="R16" s="102" t="n"/>
      <c r="S16" s="114" t="n"/>
      <c r="T16" s="95" t="n"/>
      <c r="U16" s="102" t="n"/>
      <c r="V16" s="114" t="n"/>
      <c r="W16" s="95" t="n"/>
      <c r="X16" s="102" t="n"/>
      <c r="Y16" s="114" t="n"/>
      <c r="Z16" s="95" t="n"/>
      <c r="AA16" s="102" t="n"/>
      <c r="AB16" s="114" t="n"/>
      <c r="AC16" s="95" t="n"/>
      <c r="AD16" s="102" t="n"/>
      <c r="AE16" s="114" t="n"/>
      <c r="AF16" s="95" t="n"/>
      <c r="AG16" s="102" t="n"/>
      <c r="AH16" s="114" t="n"/>
      <c r="AI16" s="6" t="n"/>
    </row>
    <row r="17" ht="13.5" customHeight="1" thickBot="1">
      <c r="A17" s="19" t="inlineStr">
        <is>
          <t>CFM</t>
        </is>
      </c>
      <c r="B17" s="137">
        <f>AVERAGE(B16:D16)*VLOOKUP(B15,$AL$7:$AN$15,2, FALSE)*VLOOKUP(B15,$AL$7:$AN$15,3, FALSE)</f>
        <v/>
      </c>
      <c r="C17" s="164" t="n"/>
      <c r="D17" s="165" t="n"/>
      <c r="E17" s="137">
        <f>AVERAGE(E16:G16)*VLOOKUP(E15,$AL$7:$AN$15,2, FALSE)*VLOOKUP(E15,$AL$7:$AN$15,3, FALSE)</f>
        <v/>
      </c>
      <c r="F17" s="164" t="n"/>
      <c r="G17" s="165" t="n"/>
      <c r="H17" s="137">
        <f>AVERAGE(H16:J16)*VLOOKUP(H15,$AL$7:$AN$15,2, FALSE)*VLOOKUP(H15,$AL$7:$AN$15,3, FALSE)</f>
        <v/>
      </c>
      <c r="I17" s="164" t="n"/>
      <c r="J17" s="165" t="n"/>
      <c r="K17" s="137">
        <f>AVERAGE(K16:M16)*VLOOKUP(K15,$AL$7:$AN$15,2, FALSE)*VLOOKUP(K15,$AL$7:$AN$15,3, FALSE)</f>
        <v/>
      </c>
      <c r="L17" s="164" t="n"/>
      <c r="M17" s="165" t="n"/>
      <c r="N17" s="137">
        <f>AVERAGE(N16:P16)*VLOOKUP(N15,$AL$7:$AN$15,2, FALSE)*VLOOKUP(N15,$AL$7:$AN$15,3, FALSE)</f>
        <v/>
      </c>
      <c r="O17" s="164" t="n"/>
      <c r="P17" s="165" t="n"/>
      <c r="Q17" s="137">
        <f>AVERAGE(Q16:S16)*VLOOKUP(Q15,$AL$7:$AN$15,2, FALSE)*VLOOKUP(Q15,$AL$7:$AN$15,3, FALSE)</f>
        <v/>
      </c>
      <c r="R17" s="164" t="n"/>
      <c r="S17" s="165" t="n"/>
      <c r="T17" s="137">
        <f>AVERAGE(T16:V16)*VLOOKUP(T15,$AL$7:$AN$15,2, FALSE)*VLOOKUP(T15,$AL$7:$AN$15,3, FALSE)</f>
        <v/>
      </c>
      <c r="U17" s="164" t="n"/>
      <c r="V17" s="165" t="n"/>
      <c r="W17" s="137">
        <f>AVERAGE(W16:Y16)*VLOOKUP(W15,$AL$7:$AN$15,2, FALSE)*VLOOKUP(W15,$AL$7:$AN$15,3, FALSE)</f>
        <v/>
      </c>
      <c r="X17" s="164" t="n"/>
      <c r="Y17" s="165" t="n"/>
      <c r="Z17" s="137">
        <f>AVERAGE(Z16:AB16)*VLOOKUP(Z15,$AL$7:$AN$15,2, FALSE)*VLOOKUP(Z15,$AL$7:$AN$15,3, FALSE)</f>
        <v/>
      </c>
      <c r="AA17" s="164" t="n"/>
      <c r="AB17" s="165" t="n"/>
      <c r="AC17" s="137">
        <f>AVERAGE(AC16:AE16)*VLOOKUP(AC15,$AL$7:$AN$15,2, FALSE)*VLOOKUP(AC15,$AL$7:$AN$15,3, FALSE)</f>
        <v/>
      </c>
      <c r="AD17" s="164" t="n"/>
      <c r="AE17" s="165" t="n"/>
      <c r="AF17" s="137">
        <f>AVERAGE(AF16:AH16)*VLOOKUP(AF15,$AL$7:$AN$15,2, FALSE)*VLOOKUP(AF15,$AL$7:$AN$15,3, FALSE)</f>
        <v/>
      </c>
      <c r="AG17" s="164" t="n"/>
      <c r="AH17" s="165" t="n"/>
      <c r="AI17" s="113">
        <f>SUM(B17:AH17)</f>
        <v/>
      </c>
    </row>
    <row r="18" ht="13" customHeight="1" thickBot="1"/>
    <row r="19" ht="13.5" customHeight="1" thickBot="1">
      <c r="A19" s="159" t="inlineStr">
        <is>
          <t>Hood Number 3 Information</t>
        </is>
      </c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4" t="n"/>
      <c r="AH19" s="44" t="n"/>
      <c r="AI19" s="34" t="n"/>
    </row>
    <row r="20" ht="13.5" customHeight="1" thickBot="1">
      <c r="A20" s="42" t="inlineStr">
        <is>
          <t>Model =</t>
        </is>
      </c>
      <c r="B20" s="43" t="n"/>
      <c r="C20" s="37" t="inlineStr">
        <is>
          <t>Length =</t>
        </is>
      </c>
      <c r="D20" s="45" t="n"/>
      <c r="E20" s="44" t="inlineStr">
        <is>
          <t>Notes:</t>
        </is>
      </c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  <c r="AE20" s="44" t="n"/>
      <c r="AF20" s="44" t="n"/>
      <c r="AG20" s="44" t="n"/>
      <c r="AH20" s="44" t="n"/>
      <c r="AI20" s="34" t="n"/>
      <c r="AL20" s="70" t="inlineStr">
        <is>
          <t>Filter Opening = 2" Holes</t>
        </is>
      </c>
    </row>
    <row r="21" ht="17" customHeight="1">
      <c r="A21" s="14" t="n"/>
      <c r="B21" s="144" t="inlineStr">
        <is>
          <t>Filter #1</t>
        </is>
      </c>
      <c r="C21" s="160" t="n"/>
      <c r="D21" s="161" t="n"/>
      <c r="E21" s="144" t="inlineStr">
        <is>
          <t>Filter #2</t>
        </is>
      </c>
      <c r="F21" s="160" t="n"/>
      <c r="G21" s="161" t="n"/>
      <c r="H21" s="144" t="inlineStr">
        <is>
          <t>Filter #3</t>
        </is>
      </c>
      <c r="I21" s="160" t="n"/>
      <c r="J21" s="161" t="n"/>
      <c r="K21" s="144" t="inlineStr">
        <is>
          <t>Filter #4</t>
        </is>
      </c>
      <c r="L21" s="160" t="n"/>
      <c r="M21" s="161" t="n"/>
      <c r="N21" s="144" t="inlineStr">
        <is>
          <t>Filter #5</t>
        </is>
      </c>
      <c r="O21" s="160" t="n"/>
      <c r="P21" s="161" t="n"/>
      <c r="Q21" s="144" t="inlineStr">
        <is>
          <t>Filter #6</t>
        </is>
      </c>
      <c r="R21" s="160" t="n"/>
      <c r="S21" s="161" t="n"/>
      <c r="T21" s="144" t="inlineStr">
        <is>
          <t>Filter #7</t>
        </is>
      </c>
      <c r="U21" s="160" t="n"/>
      <c r="V21" s="161" t="n"/>
      <c r="W21" s="144" t="inlineStr">
        <is>
          <t>Filter #8</t>
        </is>
      </c>
      <c r="X21" s="160" t="n"/>
      <c r="Y21" s="161" t="n"/>
      <c r="Z21" s="144" t="inlineStr">
        <is>
          <t>Filter #9</t>
        </is>
      </c>
      <c r="AA21" s="160" t="n"/>
      <c r="AB21" s="161" t="n"/>
      <c r="AC21" s="144" t="inlineStr">
        <is>
          <t>Filter #10</t>
        </is>
      </c>
      <c r="AD21" s="160" t="n"/>
      <c r="AE21" s="161" t="n"/>
      <c r="AF21" s="144" t="inlineStr">
        <is>
          <t>Filter #11</t>
        </is>
      </c>
      <c r="AG21" s="160" t="n"/>
      <c r="AH21" s="161" t="n"/>
      <c r="AI21" s="146" t="inlineStr">
        <is>
          <t>Total CFM</t>
        </is>
      </c>
      <c r="AL21" s="1" t="inlineStr">
        <is>
          <t>10" x 16"</t>
        </is>
      </c>
      <c r="AM21" s="70" t="inlineStr">
        <is>
          <t>6 Holes</t>
        </is>
      </c>
    </row>
    <row r="22" ht="17" customHeight="1">
      <c r="A22" s="18" t="inlineStr">
        <is>
          <t>Filter Size</t>
        </is>
      </c>
      <c r="B22" s="162" t="inlineStr">
        <is>
          <t>No Filter</t>
        </is>
      </c>
      <c r="C22" s="163" t="n"/>
      <c r="D22" s="105" t="n"/>
      <c r="E22" s="162" t="inlineStr">
        <is>
          <t>No Filter</t>
        </is>
      </c>
      <c r="F22" s="163" t="n"/>
      <c r="G22" s="105" t="n"/>
      <c r="H22" s="162" t="inlineStr">
        <is>
          <t>No Filter</t>
        </is>
      </c>
      <c r="I22" s="163" t="n"/>
      <c r="J22" s="105" t="n"/>
      <c r="K22" s="162" t="inlineStr">
        <is>
          <t>No Filter</t>
        </is>
      </c>
      <c r="L22" s="163" t="n"/>
      <c r="M22" s="105" t="n"/>
      <c r="N22" s="162" t="inlineStr">
        <is>
          <t>No Filter</t>
        </is>
      </c>
      <c r="O22" s="163" t="n"/>
      <c r="P22" s="105" t="n"/>
      <c r="Q22" s="162" t="inlineStr">
        <is>
          <t>No Filter</t>
        </is>
      </c>
      <c r="R22" s="163" t="n"/>
      <c r="S22" s="105" t="n"/>
      <c r="T22" s="162" t="inlineStr">
        <is>
          <t>No Filter</t>
        </is>
      </c>
      <c r="U22" s="163" t="n"/>
      <c r="V22" s="105" t="n"/>
      <c r="W22" s="162" t="inlineStr">
        <is>
          <t>No Filter</t>
        </is>
      </c>
      <c r="X22" s="163" t="n"/>
      <c r="Y22" s="105" t="n"/>
      <c r="Z22" s="162" t="inlineStr">
        <is>
          <t>No Filter</t>
        </is>
      </c>
      <c r="AA22" s="163" t="n"/>
      <c r="AB22" s="105" t="n"/>
      <c r="AC22" s="162" t="inlineStr">
        <is>
          <t>No Filter</t>
        </is>
      </c>
      <c r="AD22" s="163" t="n"/>
      <c r="AE22" s="105" t="n"/>
      <c r="AF22" s="162" t="inlineStr">
        <is>
          <t>No Filter</t>
        </is>
      </c>
      <c r="AG22" s="163" t="n"/>
      <c r="AH22" s="105" t="n"/>
      <c r="AI22" s="5" t="n"/>
      <c r="AL22" s="1" t="inlineStr">
        <is>
          <t>10" x 20"</t>
        </is>
      </c>
      <c r="AM22" s="70" t="inlineStr">
        <is>
          <t>9 Holes</t>
        </is>
      </c>
    </row>
    <row r="23" ht="17" customHeight="1">
      <c r="A23" s="18" t="inlineStr">
        <is>
          <t>Velocity</t>
        </is>
      </c>
      <c r="B23" s="95" t="n"/>
      <c r="C23" s="102" t="n"/>
      <c r="D23" s="114" t="n"/>
      <c r="E23" s="95" t="n"/>
      <c r="F23" s="102" t="n"/>
      <c r="G23" s="114" t="n"/>
      <c r="H23" s="95" t="n"/>
      <c r="I23" s="102" t="n"/>
      <c r="J23" s="114" t="n"/>
      <c r="K23" s="95" t="n"/>
      <c r="L23" s="102" t="n"/>
      <c r="M23" s="114" t="n"/>
      <c r="N23" s="95" t="n"/>
      <c r="O23" s="102" t="n"/>
      <c r="P23" s="114" t="n"/>
      <c r="Q23" s="95" t="n"/>
      <c r="R23" s="102" t="n"/>
      <c r="S23" s="114" t="n"/>
      <c r="T23" s="95" t="n"/>
      <c r="U23" s="102" t="n"/>
      <c r="V23" s="114" t="n"/>
      <c r="W23" s="95" t="n"/>
      <c r="X23" s="102" t="n"/>
      <c r="Y23" s="114" t="n"/>
      <c r="Z23" s="95" t="n"/>
      <c r="AA23" s="102" t="n"/>
      <c r="AB23" s="114" t="n"/>
      <c r="AC23" s="95" t="n"/>
      <c r="AD23" s="102" t="n"/>
      <c r="AE23" s="114" t="n"/>
      <c r="AF23" s="95" t="n"/>
      <c r="AG23" s="102" t="n"/>
      <c r="AH23" s="114" t="n"/>
      <c r="AI23" s="6" t="n"/>
      <c r="AL23" s="1" t="inlineStr">
        <is>
          <t>12" x 16"</t>
        </is>
      </c>
      <c r="AM23" s="70" t="inlineStr">
        <is>
          <t>6 Holes</t>
        </is>
      </c>
    </row>
    <row r="24" ht="13.5" customHeight="1" thickBot="1">
      <c r="A24" s="19" t="inlineStr">
        <is>
          <t>CFM</t>
        </is>
      </c>
      <c r="B24" s="137">
        <f>AVERAGE(B23:D23)*VLOOKUP(B22,$AL$7:$AN$15,2, FALSE)*VLOOKUP(B22,$AL$7:$AN$15,3, FALSE)</f>
        <v/>
      </c>
      <c r="C24" s="164" t="n"/>
      <c r="D24" s="165" t="n"/>
      <c r="E24" s="137">
        <f>AVERAGE(E23:G23)*VLOOKUP(E22,$AL$7:$AN$15,2, FALSE)*VLOOKUP(E22,$AL$7:$AN$15,3, FALSE)</f>
        <v/>
      </c>
      <c r="F24" s="164" t="n"/>
      <c r="G24" s="165" t="n"/>
      <c r="H24" s="137">
        <f>AVERAGE(H23:J23)*VLOOKUP(H22,$AL$7:$AN$15,2, FALSE)*VLOOKUP(H22,$AL$7:$AN$15,3, FALSE)</f>
        <v/>
      </c>
      <c r="I24" s="164" t="n"/>
      <c r="J24" s="165" t="n"/>
      <c r="K24" s="137">
        <f>AVERAGE(K23:M23)*VLOOKUP(K22,$AL$7:$AN$15,2, FALSE)*VLOOKUP(K22,$AL$7:$AN$15,3, FALSE)</f>
        <v/>
      </c>
      <c r="L24" s="164" t="n"/>
      <c r="M24" s="165" t="n"/>
      <c r="N24" s="137">
        <f>AVERAGE(N23:P23)*VLOOKUP(N22,$AL$7:$AN$15,2, FALSE)*VLOOKUP(N22,$AL$7:$AN$15,3, FALSE)</f>
        <v/>
      </c>
      <c r="O24" s="164" t="n"/>
      <c r="P24" s="165" t="n"/>
      <c r="Q24" s="137">
        <f>AVERAGE(Q23:S23)*VLOOKUP(Q22,$AL$7:$AN$15,2, FALSE)*VLOOKUP(Q22,$AL$7:$AN$15,3, FALSE)</f>
        <v/>
      </c>
      <c r="R24" s="164" t="n"/>
      <c r="S24" s="165" t="n"/>
      <c r="T24" s="137">
        <f>AVERAGE(T23:V23)*VLOOKUP(T22,$AL$7:$AN$15,2, FALSE)*VLOOKUP(T22,$AL$7:$AN$15,3, FALSE)</f>
        <v/>
      </c>
      <c r="U24" s="164" t="n"/>
      <c r="V24" s="165" t="n"/>
      <c r="W24" s="137">
        <f>AVERAGE(W23:Y23)*VLOOKUP(W22,$AL$7:$AN$15,2, FALSE)*VLOOKUP(W22,$AL$7:$AN$15,3, FALSE)</f>
        <v/>
      </c>
      <c r="X24" s="164" t="n"/>
      <c r="Y24" s="165" t="n"/>
      <c r="Z24" s="137">
        <f>AVERAGE(Z23:AB23)*VLOOKUP(Z22,$AL$7:$AN$15,2, FALSE)*VLOOKUP(Z22,$AL$7:$AN$15,3, FALSE)</f>
        <v/>
      </c>
      <c r="AA24" s="164" t="n"/>
      <c r="AB24" s="165" t="n"/>
      <c r="AC24" s="137">
        <f>AVERAGE(AC23:AE23)*VLOOKUP(AC22,$AL$7:$AN$15,2, FALSE)*VLOOKUP(AC22,$AL$7:$AN$15,3, FALSE)</f>
        <v/>
      </c>
      <c r="AD24" s="164" t="n"/>
      <c r="AE24" s="165" t="n"/>
      <c r="AF24" s="137">
        <f>AVERAGE(AF23:AH23)*VLOOKUP(AF22,$AL$7:$AN$15,2, FALSE)*VLOOKUP(AF22,$AL$7:$AN$15,3, FALSE)</f>
        <v/>
      </c>
      <c r="AG24" s="164" t="n"/>
      <c r="AH24" s="165" t="n"/>
      <c r="AI24" s="113">
        <f>SUM(B24:AH24)</f>
        <v/>
      </c>
      <c r="AL24" s="1" t="inlineStr">
        <is>
          <t>12" x 20"</t>
        </is>
      </c>
      <c r="AM24" s="70" t="inlineStr">
        <is>
          <t>9 Holes</t>
        </is>
      </c>
    </row>
    <row r="25" ht="13" customHeight="1" thickBot="1">
      <c r="AL25" s="1" t="inlineStr">
        <is>
          <t>16" x 16"</t>
        </is>
      </c>
      <c r="AM25" s="70" t="inlineStr">
        <is>
          <t>6 Holes</t>
        </is>
      </c>
    </row>
    <row r="26" ht="13.5" customHeight="1" thickBot="1">
      <c r="A26" s="159" t="inlineStr">
        <is>
          <t>Hood Number 4 Information</t>
        </is>
      </c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  <c r="AE26" s="44" t="n"/>
      <c r="AF26" s="44" t="n"/>
      <c r="AG26" s="44" t="n"/>
      <c r="AH26" s="44" t="n"/>
      <c r="AI26" s="34" t="n"/>
      <c r="AL26" s="1" t="inlineStr">
        <is>
          <t>16" x 20"</t>
        </is>
      </c>
      <c r="AM26" s="70" t="inlineStr">
        <is>
          <t>9 Holes</t>
        </is>
      </c>
    </row>
    <row r="27" ht="13.5" customHeight="1" thickBot="1">
      <c r="A27" s="42" t="inlineStr">
        <is>
          <t>Model =</t>
        </is>
      </c>
      <c r="B27" s="43" t="n"/>
      <c r="C27" s="37" t="inlineStr">
        <is>
          <t>Length =</t>
        </is>
      </c>
      <c r="D27" s="45" t="n"/>
      <c r="E27" s="44" t="inlineStr">
        <is>
          <t>Notes:</t>
        </is>
      </c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  <c r="AE27" s="44" t="n"/>
      <c r="AF27" s="44" t="n"/>
      <c r="AG27" s="44" t="n"/>
      <c r="AH27" s="44" t="n"/>
      <c r="AI27" s="34" t="n"/>
      <c r="AL27" s="1" t="inlineStr">
        <is>
          <t>20" x 16"</t>
        </is>
      </c>
      <c r="AM27" s="70" t="inlineStr">
        <is>
          <t>12 Holes</t>
        </is>
      </c>
    </row>
    <row r="28" ht="17" customHeight="1">
      <c r="A28" s="14" t="n"/>
      <c r="B28" s="144" t="inlineStr">
        <is>
          <t>Filter #1</t>
        </is>
      </c>
      <c r="C28" s="160" t="n"/>
      <c r="D28" s="161" t="n"/>
      <c r="E28" s="144" t="inlineStr">
        <is>
          <t>Filter #2</t>
        </is>
      </c>
      <c r="F28" s="160" t="n"/>
      <c r="G28" s="161" t="n"/>
      <c r="H28" s="144" t="inlineStr">
        <is>
          <t>Filter #3</t>
        </is>
      </c>
      <c r="I28" s="160" t="n"/>
      <c r="J28" s="161" t="n"/>
      <c r="K28" s="144" t="inlineStr">
        <is>
          <t>Filter #4</t>
        </is>
      </c>
      <c r="L28" s="160" t="n"/>
      <c r="M28" s="161" t="n"/>
      <c r="N28" s="144" t="inlineStr">
        <is>
          <t>Filter #5</t>
        </is>
      </c>
      <c r="O28" s="160" t="n"/>
      <c r="P28" s="161" t="n"/>
      <c r="Q28" s="144" t="inlineStr">
        <is>
          <t>Filter #6</t>
        </is>
      </c>
      <c r="R28" s="160" t="n"/>
      <c r="S28" s="161" t="n"/>
      <c r="T28" s="144" t="inlineStr">
        <is>
          <t>Filter #7</t>
        </is>
      </c>
      <c r="U28" s="160" t="n"/>
      <c r="V28" s="161" t="n"/>
      <c r="W28" s="144" t="inlineStr">
        <is>
          <t>Filter #8</t>
        </is>
      </c>
      <c r="X28" s="160" t="n"/>
      <c r="Y28" s="161" t="n"/>
      <c r="Z28" s="144" t="inlineStr">
        <is>
          <t>Filter #9</t>
        </is>
      </c>
      <c r="AA28" s="160" t="n"/>
      <c r="AB28" s="161" t="n"/>
      <c r="AC28" s="144" t="inlineStr">
        <is>
          <t>Filter #10</t>
        </is>
      </c>
      <c r="AD28" s="160" t="n"/>
      <c r="AE28" s="161" t="n"/>
      <c r="AF28" s="144" t="inlineStr">
        <is>
          <t>Filter #11</t>
        </is>
      </c>
      <c r="AG28" s="160" t="n"/>
      <c r="AH28" s="161" t="n"/>
      <c r="AI28" s="146" t="inlineStr">
        <is>
          <t>Total CFM</t>
        </is>
      </c>
      <c r="AL28" s="1" t="inlineStr">
        <is>
          <t>20" x 20"</t>
        </is>
      </c>
      <c r="AM28" s="70" t="inlineStr">
        <is>
          <t>16 Holes</t>
        </is>
      </c>
    </row>
    <row r="29" ht="17" customHeight="1">
      <c r="A29" s="18" t="inlineStr">
        <is>
          <t>Filter Size</t>
        </is>
      </c>
      <c r="B29" s="162" t="inlineStr">
        <is>
          <t>No Filter</t>
        </is>
      </c>
      <c r="C29" s="163" t="n"/>
      <c r="D29" s="105" t="n"/>
      <c r="E29" s="162" t="inlineStr">
        <is>
          <t>No Filter</t>
        </is>
      </c>
      <c r="F29" s="163" t="n"/>
      <c r="G29" s="105" t="n"/>
      <c r="H29" s="162" t="inlineStr">
        <is>
          <t>No Filter</t>
        </is>
      </c>
      <c r="I29" s="163" t="n"/>
      <c r="J29" s="105" t="n"/>
      <c r="K29" s="162" t="inlineStr">
        <is>
          <t>No Filter</t>
        </is>
      </c>
      <c r="L29" s="163" t="n"/>
      <c r="M29" s="105" t="n"/>
      <c r="N29" s="162" t="inlineStr">
        <is>
          <t>No Filter</t>
        </is>
      </c>
      <c r="O29" s="163" t="n"/>
      <c r="P29" s="105" t="n"/>
      <c r="Q29" s="162" t="inlineStr">
        <is>
          <t>No Filter</t>
        </is>
      </c>
      <c r="R29" s="163" t="n"/>
      <c r="S29" s="105" t="n"/>
      <c r="T29" s="162" t="inlineStr">
        <is>
          <t>No Filter</t>
        </is>
      </c>
      <c r="U29" s="163" t="n"/>
      <c r="V29" s="105" t="n"/>
      <c r="W29" s="162" t="inlineStr">
        <is>
          <t>No Filter</t>
        </is>
      </c>
      <c r="X29" s="163" t="n"/>
      <c r="Y29" s="105" t="n"/>
      <c r="Z29" s="162" t="inlineStr">
        <is>
          <t>No Filter</t>
        </is>
      </c>
      <c r="AA29" s="163" t="n"/>
      <c r="AB29" s="105" t="n"/>
      <c r="AC29" s="162" t="inlineStr">
        <is>
          <t>No Filter</t>
        </is>
      </c>
      <c r="AD29" s="163" t="n"/>
      <c r="AE29" s="105" t="n"/>
      <c r="AF29" s="162" t="inlineStr">
        <is>
          <t>No Filter</t>
        </is>
      </c>
      <c r="AG29" s="163" t="n"/>
      <c r="AH29" s="105" t="n"/>
      <c r="AI29" s="5" t="n"/>
    </row>
    <row r="30" ht="17" customHeight="1">
      <c r="A30" s="18" t="inlineStr">
        <is>
          <t>Velocity</t>
        </is>
      </c>
      <c r="B30" s="95" t="n"/>
      <c r="C30" s="102" t="n"/>
      <c r="D30" s="114" t="n"/>
      <c r="E30" s="95" t="n"/>
      <c r="F30" s="102" t="n"/>
      <c r="G30" s="114" t="n"/>
      <c r="H30" s="95" t="n"/>
      <c r="I30" s="102" t="n"/>
      <c r="J30" s="114" t="n"/>
      <c r="K30" s="95" t="n"/>
      <c r="L30" s="102" t="n"/>
      <c r="M30" s="114" t="n"/>
      <c r="N30" s="95" t="n"/>
      <c r="O30" s="102" t="n"/>
      <c r="P30" s="114" t="n"/>
      <c r="Q30" s="95" t="n"/>
      <c r="R30" s="102" t="n"/>
      <c r="S30" s="114" t="n"/>
      <c r="T30" s="95" t="n"/>
      <c r="U30" s="102" t="n"/>
      <c r="V30" s="114" t="n"/>
      <c r="W30" s="95" t="n"/>
      <c r="X30" s="102" t="n"/>
      <c r="Y30" s="114" t="n"/>
      <c r="Z30" s="95" t="n"/>
      <c r="AA30" s="102" t="n"/>
      <c r="AB30" s="114" t="n"/>
      <c r="AC30" s="95" t="n"/>
      <c r="AD30" s="102" t="n"/>
      <c r="AE30" s="114" t="n"/>
      <c r="AF30" s="95" t="n"/>
      <c r="AG30" s="102" t="n"/>
      <c r="AH30" s="114" t="n"/>
      <c r="AI30" s="6" t="n"/>
    </row>
    <row r="31" ht="13.5" customHeight="1" thickBot="1">
      <c r="A31" s="19" t="inlineStr">
        <is>
          <t>CFM</t>
        </is>
      </c>
      <c r="B31" s="137">
        <f>AVERAGE(B30:D30)*VLOOKUP(B29,$AL$7:$AN$15,2, FALSE)*VLOOKUP(B29,$AL$7:$AN$15,3, FALSE)</f>
        <v/>
      </c>
      <c r="C31" s="164" t="n"/>
      <c r="D31" s="165" t="n"/>
      <c r="E31" s="137">
        <f>AVERAGE(E30:G30)*VLOOKUP(E29,$AL$7:$AN$15,2, FALSE)*VLOOKUP(E29,$AL$7:$AN$15,3, FALSE)</f>
        <v/>
      </c>
      <c r="F31" s="164" t="n"/>
      <c r="G31" s="165" t="n"/>
      <c r="H31" s="137">
        <f>AVERAGE(H30:J30)*VLOOKUP(H29,$AL$7:$AN$15,2, FALSE)*VLOOKUP(H29,$AL$7:$AN$15,3, FALSE)</f>
        <v/>
      </c>
      <c r="I31" s="164" t="n"/>
      <c r="J31" s="165" t="n"/>
      <c r="K31" s="137">
        <f>AVERAGE(K30:M30)*VLOOKUP(K29,$AL$7:$AN$15,2, FALSE)*VLOOKUP(K29,$AL$7:$AN$15,3, FALSE)</f>
        <v/>
      </c>
      <c r="L31" s="164" t="n"/>
      <c r="M31" s="165" t="n"/>
      <c r="N31" s="137">
        <f>AVERAGE(N30:P30)*VLOOKUP(N29,$AL$7:$AN$15,2, FALSE)*VLOOKUP(N29,$AL$7:$AN$15,3, FALSE)</f>
        <v/>
      </c>
      <c r="O31" s="164" t="n"/>
      <c r="P31" s="165" t="n"/>
      <c r="Q31" s="137">
        <f>AVERAGE(Q30:S30)*VLOOKUP(Q29,$AL$7:$AN$15,2, FALSE)*VLOOKUP(Q29,$AL$7:$AN$15,3, FALSE)</f>
        <v/>
      </c>
      <c r="R31" s="164" t="n"/>
      <c r="S31" s="165" t="n"/>
      <c r="T31" s="137">
        <f>AVERAGE(T30:V30)*VLOOKUP(T29,$AL$7:$AN$15,2, FALSE)*VLOOKUP(T29,$AL$7:$AN$15,3, FALSE)</f>
        <v/>
      </c>
      <c r="U31" s="164" t="n"/>
      <c r="V31" s="165" t="n"/>
      <c r="W31" s="137">
        <f>AVERAGE(W30:Y30)*VLOOKUP(W29,$AL$7:$AN$15,2, FALSE)*VLOOKUP(W29,$AL$7:$AN$15,3, FALSE)</f>
        <v/>
      </c>
      <c r="X31" s="164" t="n"/>
      <c r="Y31" s="165" t="n"/>
      <c r="Z31" s="137">
        <f>AVERAGE(Z30:AB30)*VLOOKUP(Z29,$AL$7:$AN$15,2, FALSE)*VLOOKUP(Z29,$AL$7:$AN$15,3, FALSE)</f>
        <v/>
      </c>
      <c r="AA31" s="164" t="n"/>
      <c r="AB31" s="165" t="n"/>
      <c r="AC31" s="137">
        <f>AVERAGE(AC30:AE30)*VLOOKUP(AC29,$AL$7:$AN$15,2, FALSE)*VLOOKUP(AC29,$AL$7:$AN$15,3, FALSE)</f>
        <v/>
      </c>
      <c r="AD31" s="164" t="n"/>
      <c r="AE31" s="165" t="n"/>
      <c r="AF31" s="137">
        <f>AVERAGE(AF30:AH30)*VLOOKUP(AF29,$AL$7:$AN$15,2, FALSE)*VLOOKUP(AF29,$AL$7:$AN$15,3, FALSE)</f>
        <v/>
      </c>
      <c r="AG31" s="164" t="n"/>
      <c r="AH31" s="165" t="n"/>
      <c r="AI31" s="113">
        <f>SUM(B31:AH31)</f>
        <v/>
      </c>
    </row>
    <row r="32" ht="17" customHeight="1"/>
    <row r="33" ht="17" customHeight="1">
      <c r="A33" s="151" t="inlineStr">
        <is>
          <t>Total Exhaust CFM's =</t>
        </is>
      </c>
      <c r="B33" s="140">
        <f>SUM(AI:AI)</f>
        <v/>
      </c>
      <c r="D33" s="115" t="inlineStr">
        <is>
          <t>CFM</t>
        </is>
      </c>
    </row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7" customHeight="1"/>
  </sheetData>
  <mergeCells count="139">
    <mergeCell ref="Q14:S14"/>
    <mergeCell ref="Q29:S29"/>
    <mergeCell ref="AC14:AE14"/>
    <mergeCell ref="E31:G31"/>
    <mergeCell ref="N17:P17"/>
    <mergeCell ref="Q31:S31"/>
    <mergeCell ref="H17:J17"/>
    <mergeCell ref="E15:G15"/>
    <mergeCell ref="W7:Y7"/>
    <mergeCell ref="Z17:AB17"/>
    <mergeCell ref="B28:D28"/>
    <mergeCell ref="Q15:S15"/>
    <mergeCell ref="H22:J22"/>
    <mergeCell ref="AF14:AH14"/>
    <mergeCell ref="N28:P28"/>
    <mergeCell ref="A1:AI1"/>
    <mergeCell ref="T22:V22"/>
    <mergeCell ref="AF17:AH17"/>
    <mergeCell ref="T31:V31"/>
    <mergeCell ref="K17:M17"/>
    <mergeCell ref="E7:G7"/>
    <mergeCell ref="W8:Y8"/>
    <mergeCell ref="T28:V28"/>
    <mergeCell ref="K10:M10"/>
    <mergeCell ref="AF28:AH28"/>
    <mergeCell ref="Z31:AB31"/>
    <mergeCell ref="A12:AI12"/>
    <mergeCell ref="H29:J29"/>
    <mergeCell ref="T14:V14"/>
    <mergeCell ref="T29:V29"/>
    <mergeCell ref="A5:AI5"/>
    <mergeCell ref="B33:C33"/>
    <mergeCell ref="H31:J31"/>
    <mergeCell ref="K29:M29"/>
    <mergeCell ref="H21:J21"/>
    <mergeCell ref="Z7:AB7"/>
    <mergeCell ref="E28:G28"/>
    <mergeCell ref="AF10:AH10"/>
    <mergeCell ref="K22:M22"/>
    <mergeCell ref="B8:D8"/>
    <mergeCell ref="K31:M31"/>
    <mergeCell ref="B17:D17"/>
    <mergeCell ref="W22:Y22"/>
    <mergeCell ref="N8:P8"/>
    <mergeCell ref="W31:Y31"/>
    <mergeCell ref="H7:J7"/>
    <mergeCell ref="Z8:AB8"/>
    <mergeCell ref="AC29:AE29"/>
    <mergeCell ref="B10:D10"/>
    <mergeCell ref="K8:M8"/>
    <mergeCell ref="W21:Y21"/>
    <mergeCell ref="Q22:S22"/>
    <mergeCell ref="N10:P10"/>
    <mergeCell ref="K14:M14"/>
    <mergeCell ref="AC22:AE22"/>
    <mergeCell ref="T8:V8"/>
    <mergeCell ref="AC31:AE31"/>
    <mergeCell ref="T17:V17"/>
    <mergeCell ref="AF8:AH8"/>
    <mergeCell ref="K7:M7"/>
    <mergeCell ref="AC21:AE21"/>
    <mergeCell ref="Z28:AB28"/>
    <mergeCell ref="AF22:AH22"/>
    <mergeCell ref="Q7:S7"/>
    <mergeCell ref="AC7:AE7"/>
    <mergeCell ref="W10:Y10"/>
    <mergeCell ref="E24:G24"/>
    <mergeCell ref="W24:Y24"/>
    <mergeCell ref="B31:D31"/>
    <mergeCell ref="Q24:S24"/>
    <mergeCell ref="N22:P22"/>
    <mergeCell ref="E8:G8"/>
    <mergeCell ref="E17:G17"/>
    <mergeCell ref="B21:D21"/>
    <mergeCell ref="Q8:S8"/>
    <mergeCell ref="N21:P21"/>
    <mergeCell ref="AF29:AH29"/>
    <mergeCell ref="E10:G10"/>
    <mergeCell ref="B14:D14"/>
    <mergeCell ref="Q10:S10"/>
    <mergeCell ref="N14:P14"/>
    <mergeCell ref="T21:V21"/>
    <mergeCell ref="AF21:AH21"/>
    <mergeCell ref="T7:V7"/>
    <mergeCell ref="Q17:S17"/>
    <mergeCell ref="H15:J15"/>
    <mergeCell ref="AF7:AH7"/>
    <mergeCell ref="Z10:AB10"/>
    <mergeCell ref="H24:J24"/>
    <mergeCell ref="E22:G22"/>
    <mergeCell ref="W14:Y14"/>
    <mergeCell ref="Z24:AB24"/>
    <mergeCell ref="W29:Y29"/>
    <mergeCell ref="H8:J8"/>
    <mergeCell ref="E21:G21"/>
    <mergeCell ref="K15:M15"/>
    <mergeCell ref="Q21:S21"/>
    <mergeCell ref="AF24:AH24"/>
    <mergeCell ref="K24:M24"/>
    <mergeCell ref="H10:J10"/>
    <mergeCell ref="E14:G14"/>
    <mergeCell ref="W15:Y15"/>
    <mergeCell ref="B22:D22"/>
    <mergeCell ref="K21:M21"/>
    <mergeCell ref="AC15:AE15"/>
    <mergeCell ref="A19:AI19"/>
    <mergeCell ref="AC24:AE24"/>
    <mergeCell ref="Z22:AB22"/>
    <mergeCell ref="AC8:AE8"/>
    <mergeCell ref="B29:D29"/>
    <mergeCell ref="Z21:AB21"/>
    <mergeCell ref="AF15:AH15"/>
    <mergeCell ref="N29:P29"/>
    <mergeCell ref="AC10:AE10"/>
    <mergeCell ref="Z14:AB14"/>
    <mergeCell ref="H28:J28"/>
    <mergeCell ref="Z29:AB29"/>
    <mergeCell ref="N31:P31"/>
    <mergeCell ref="B15:D15"/>
    <mergeCell ref="W17:Y17"/>
    <mergeCell ref="AF31:AH31"/>
    <mergeCell ref="B24:D24"/>
    <mergeCell ref="N15:P15"/>
    <mergeCell ref="N24:P24"/>
    <mergeCell ref="K28:M28"/>
    <mergeCell ref="H14:J14"/>
    <mergeCell ref="Z15:AB15"/>
    <mergeCell ref="W28:Y28"/>
    <mergeCell ref="AC17:AE17"/>
    <mergeCell ref="B7:D7"/>
    <mergeCell ref="A26:AI26"/>
    <mergeCell ref="T15:V15"/>
    <mergeCell ref="T24:V24"/>
    <mergeCell ref="N7:P7"/>
    <mergeCell ref="Q28:S28"/>
    <mergeCell ref="AK5:AN5"/>
    <mergeCell ref="AC28:AE28"/>
    <mergeCell ref="E29:G29"/>
    <mergeCell ref="T10:V10"/>
  </mergeCells>
  <dataValidations count="1">
    <dataValidation sqref="B8:AH8 B15:AH15 B22:AH22 B29:AH29" showDropDown="0" showInputMessage="1" showErrorMessage="1" allowBlank="1" type="list">
      <formula1>$AL$7:$AL$15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5">
    <outlinePr summaryBelow="1" summaryRight="1"/>
    <pageSetUpPr/>
  </sheetPr>
  <dimension ref="A1:AG232"/>
  <sheetViews>
    <sheetView workbookViewId="0">
      <selection activeCell="C25" sqref="C25"/>
    </sheetView>
  </sheetViews>
  <sheetFormatPr baseColWidth="8" defaultRowHeight="12.5"/>
  <cols>
    <col width="21" customWidth="1" min="1" max="1"/>
    <col width="35.26953125" customWidth="1" min="2" max="2"/>
    <col width="33.36328125" customWidth="1" min="3" max="3"/>
    <col hidden="1" width="21.36328125" customWidth="1" min="4" max="4"/>
    <col hidden="1" width="22.26953125" customWidth="1" min="5" max="5"/>
    <col hidden="1" width="23.36328125" customWidth="1" min="6" max="6"/>
    <col hidden="1" width="24.26953125" customWidth="1" min="7" max="7"/>
    <col hidden="1" width="9.08984375" customWidth="1" min="8" max="9"/>
    <col hidden="1" width="16.08984375" customWidth="1" min="10" max="10"/>
    <col hidden="1" width="10.36328125" customWidth="1" min="11" max="11"/>
    <col hidden="1" width="9.36328125" customWidth="1" min="12" max="12"/>
    <col hidden="1" width="11" customWidth="1" min="13" max="13"/>
    <col hidden="1" width="12.6328125" customWidth="1" min="14" max="14"/>
    <col hidden="1" width="12.7265625" customWidth="1" min="15" max="15"/>
    <col hidden="1" width="7.36328125" customWidth="1" min="16" max="16"/>
    <col hidden="1" width="12.36328125" customWidth="1" min="17" max="17"/>
    <col hidden="1" width="9.08984375" customWidth="1" min="18" max="27"/>
    <col hidden="1" min="28" max="28"/>
  </cols>
  <sheetData>
    <row r="1" ht="13" customHeight="1">
      <c r="A1" s="147" t="inlineStr">
        <is>
          <t>Direct Fired Heater Supply CFM For Given Burner Profile Pressure</t>
        </is>
      </c>
      <c r="D1" s="147" t="n"/>
      <c r="E1" s="147" t="n"/>
      <c r="F1" s="147" t="n"/>
      <c r="G1" s="147" t="n"/>
      <c r="J1" t="inlineStr">
        <is>
          <t>Airflow Averages</t>
        </is>
      </c>
      <c r="Q1" s="148" t="inlineStr">
        <is>
          <t>Slope</t>
        </is>
      </c>
      <c r="W1" s="148" t="inlineStr">
        <is>
          <t>b</t>
        </is>
      </c>
      <c r="AB1" s="59" t="inlineStr">
        <is>
          <t>rev. 1</t>
        </is>
      </c>
      <c r="AC1" s="148" t="n"/>
      <c r="AD1" s="148" t="n"/>
      <c r="AE1" s="148" t="n"/>
      <c r="AF1" s="148" t="n"/>
      <c r="AG1" s="148" t="n"/>
    </row>
    <row r="2">
      <c r="A2" t="inlineStr">
        <is>
          <t>Job Number =</t>
        </is>
      </c>
      <c r="J2" s="1" t="inlineStr">
        <is>
          <t>Profile Pressure</t>
        </is>
      </c>
      <c r="K2" s="1" t="inlineStr">
        <is>
          <t>Size 1</t>
        </is>
      </c>
      <c r="L2" s="1" t="inlineStr">
        <is>
          <t>Size 2</t>
        </is>
      </c>
      <c r="M2" s="1" t="inlineStr">
        <is>
          <t>Size 3</t>
        </is>
      </c>
      <c r="N2" s="1" t="inlineStr">
        <is>
          <t>Size 4</t>
        </is>
      </c>
      <c r="O2" s="1" t="inlineStr">
        <is>
          <t>Size 5</t>
        </is>
      </c>
      <c r="Q2" s="1" t="n">
        <v>1</v>
      </c>
      <c r="R2" s="1" t="n">
        <v>2</v>
      </c>
      <c r="S2" s="1" t="n">
        <v>3</v>
      </c>
      <c r="T2" s="1" t="n">
        <v>4</v>
      </c>
      <c r="U2" s="1" t="n">
        <v>5</v>
      </c>
      <c r="W2" s="1" t="n">
        <v>1</v>
      </c>
      <c r="X2" s="1" t="n">
        <v>2</v>
      </c>
      <c r="Y2" s="1" t="n">
        <v>3</v>
      </c>
      <c r="Z2" s="1" t="n">
        <v>4</v>
      </c>
      <c r="AA2" s="1" t="n">
        <v>5</v>
      </c>
      <c r="AC2" s="29" t="inlineStr">
        <is>
          <t>rev. 0</t>
        </is>
      </c>
      <c r="AD2" s="1" t="n"/>
      <c r="AE2" s="1" t="n"/>
      <c r="AF2" s="1" t="n"/>
      <c r="AG2" s="1" t="n"/>
    </row>
    <row r="3" ht="13" customHeight="1">
      <c r="A3" s="67" t="inlineStr">
        <is>
          <t>Heater Housing Size</t>
        </is>
      </c>
      <c r="B3" s="67" t="inlineStr">
        <is>
          <t>Burner Profile Pressure* (In W.G.)</t>
        </is>
      </c>
      <c r="C3" s="67" t="inlineStr">
        <is>
          <t>CFM**</t>
        </is>
      </c>
      <c r="J3" s="1" t="n">
        <v>0</v>
      </c>
    </row>
    <row r="4">
      <c r="A4" s="3" t="n">
        <v>1</v>
      </c>
      <c r="B4" s="116" t="n">
        <v>0</v>
      </c>
      <c r="C4" s="118">
        <f>IF(B4&gt;=$J$3,IF(B4&lt;$J$7,D4,IF(B4&gt;=$J$7,IF(B4&lt;$J$10,E4,IF(B4&gt;=$J$10,IF(B4&lt;$J$13,F4,IF(B4&gt;=$J$13,IF(B4&lt;$J$15,G4))))))))</f>
        <v/>
      </c>
      <c r="D4" s="60">
        <f>IF(B4=$J$3,"Specify Profile Pressure",IF(B4&lt;$J$4,"Profile Pressure Too Low",IF(B4&gt;=$J$4,IF(B4&lt;$J$5,B4*Q4+W4,IF(B4&gt;=$J$5,IF(B4&lt;$J$6,B4*Q5+W5, IF(B4&gt;=$J$6,IF(B4&lt;$J$7,B4*Q6+W6))))))))</f>
        <v/>
      </c>
      <c r="E4" s="61">
        <f>IF(B4&gt;=$J$7,IF(B4&lt;$J$8,B4*Q7+W7,IF(B4&gt;=$J$8,IF(B4&lt;$J$9,B4*Q8+W8,IF(B4&gt;=$J$9,IF(B4&lt;$J$10,B4*Q9+W9))))))</f>
        <v/>
      </c>
      <c r="F4" s="62">
        <f>IF(B4&gt;=$J$10,IF(B4&lt;$J$11,B4*Q10+W10,IF(B4&gt;=$J$11,IF(B4&lt;$J$12,B4*Q11+W11,IF(B4&gt;=$J$12,IF(B4&lt;$J$13,B4*Q12+W12))))))</f>
        <v/>
      </c>
      <c r="G4" s="148">
        <f>IF(B4&gt;=$J$13,IF(B4&lt;=$J$14,B4*Q13+W13,IF(B4&gt;$J$14,IF(B4&lt;$J$15,"Profile Pressure Too High"))))</f>
        <v/>
      </c>
      <c r="H4" s="62" t="n"/>
      <c r="I4" s="62" t="n"/>
      <c r="J4" s="1">
        <f>0.15</f>
        <v/>
      </c>
      <c r="K4" s="63" t="n">
        <v>697.15</v>
      </c>
      <c r="L4" s="1" t="n">
        <v>2035.5</v>
      </c>
      <c r="M4" s="63" t="n">
        <v>1740.9</v>
      </c>
      <c r="N4" s="1" t="n">
        <v>3037.188</v>
      </c>
      <c r="O4" s="1" t="n">
        <v>4212.45</v>
      </c>
      <c r="Q4" s="1">
        <f>(K5-K4)/(J5-J4)</f>
        <v/>
      </c>
      <c r="R4" s="1">
        <f>(L5-L4)/(J5-J4)</f>
        <v/>
      </c>
      <c r="S4" s="1">
        <f>(M5-M4)/(J5-J4)</f>
        <v/>
      </c>
      <c r="T4" s="1">
        <f>(N5-N4)/(J5-J4)</f>
        <v/>
      </c>
      <c r="U4" s="1">
        <f>(O5-O4)/(J5-J4)</f>
        <v/>
      </c>
      <c r="V4" s="1" t="n"/>
      <c r="W4" s="1">
        <f>K4-Q4*J4</f>
        <v/>
      </c>
      <c r="X4" s="1">
        <f>L4-R4*J4</f>
        <v/>
      </c>
      <c r="Y4" s="1">
        <f>M4-S4*J4</f>
        <v/>
      </c>
      <c r="Z4" s="1">
        <f>N4-T4*J4</f>
        <v/>
      </c>
      <c r="AA4" s="1">
        <f>O4-U4*J4</f>
        <v/>
      </c>
    </row>
    <row r="5">
      <c r="A5" s="3" t="n">
        <v>2</v>
      </c>
      <c r="B5" s="117" t="n">
        <v>0</v>
      </c>
      <c r="C5" s="118">
        <f>IF(B5&gt;=$J$3,IF(B5&lt;$J$7,D5,IF(B5&gt;=$J$7,IF(B5&lt;$J$10,E5,IF(B5&gt;=$J$10,IF(B5&lt;$J$13,F5,IF(B5&gt;=$J$13,IF(B5&lt;$J$15,G5))))))))</f>
        <v/>
      </c>
      <c r="D5" s="60">
        <f>IF(B5=$J$3,"Specify Profile Pressure",IF(B5&lt;$J$4,"Profile Pressure Too Low",IF(B5&gt;=$J$4,IF(B5&lt;$J$5,B5*R4+X4,IF(B5&gt;=$J$5,IF(B5&lt;$J$6,B5*R5+X5, IF(B5&gt;=$J$6,IF(B5&lt;$J$7,B5*R6+X6))))))))</f>
        <v/>
      </c>
      <c r="E5" s="61">
        <f>IF(B5&gt;=$J$7,IF(B5&lt;$J$8,B5*R7+X7,IF(B5&gt;=$J$8,IF(B5&lt;$J$9,B5*R8+X8,IF(B5&gt;=$J$9,IF(B5&lt;$J$10,B5*R9+X9))))))</f>
        <v/>
      </c>
      <c r="F5" s="62">
        <f>IF(B5&gt;=$J$10,IF(B5&lt;$J$11,B5*R10+X10,IF(B5&gt;=$J$11,IF(B5&lt;$J$12,B5*R11+X11,IF(B5&gt;=$J$12,IF(B5&lt;$J$13,B5*R12+X12))))))</f>
        <v/>
      </c>
      <c r="G5" s="148">
        <f>IF(B5&gt;=$J$13,IF(B5&lt;=$J$14,B5*R13+X13,IF(B5&gt;$J$14,IF(B5&lt;$J$15,"Profile Pressure Too High"))))</f>
        <v/>
      </c>
      <c r="J5" s="1">
        <f>J4+0.05</f>
        <v/>
      </c>
      <c r="K5" s="63" t="n">
        <v>805.62</v>
      </c>
      <c r="L5" s="63" t="n">
        <v>2400</v>
      </c>
      <c r="M5" s="63" t="n">
        <v>1908.9</v>
      </c>
      <c r="N5" s="1" t="n">
        <v>3537.504</v>
      </c>
      <c r="O5" s="63" t="n">
        <v>9500</v>
      </c>
      <c r="Q5" s="1">
        <f>(K6-K5)/(J6-J5)</f>
        <v/>
      </c>
      <c r="R5" s="1">
        <f>(L6-L5)/(J6-J5)</f>
        <v/>
      </c>
      <c r="S5" s="1">
        <f>(M6-M5)/(J6-J5)</f>
        <v/>
      </c>
      <c r="T5" s="1">
        <f>(N6-N5)/(J6-J5)</f>
        <v/>
      </c>
      <c r="U5" s="1">
        <f>(O6-O5)/(J6-J5)</f>
        <v/>
      </c>
      <c r="V5" s="1" t="n"/>
      <c r="W5" s="1">
        <f>K5-Q5*J5</f>
        <v/>
      </c>
      <c r="X5" s="1">
        <f>L5-R5*J5</f>
        <v/>
      </c>
      <c r="Y5" s="1">
        <f>M5-S5*J5</f>
        <v/>
      </c>
      <c r="Z5" s="1">
        <f>N5-T5*J5</f>
        <v/>
      </c>
      <c r="AA5" s="1">
        <f>O5-U5*J5</f>
        <v/>
      </c>
    </row>
    <row r="6">
      <c r="A6" s="3" t="n">
        <v>3</v>
      </c>
      <c r="B6" s="117" t="n">
        <v>0</v>
      </c>
      <c r="C6" s="118">
        <f>IF(B6&gt;=$J$3,IF(B6&lt;$J$7,D6,IF(B6&gt;=$J$7,IF(B6&lt;$J$10,E6,IF(B6&gt;=$J$10,IF(B6&lt;$J$13,F6,IF(B6&gt;=$J$13,IF(B6&lt;$J$15,G6))))))))</f>
        <v/>
      </c>
      <c r="D6" s="60">
        <f>IF(B6=$J$3,"Specify Profile Pressure",IF(B6&lt;$J$4,"Profile Pressure Too Low",IF(B6&gt;=$J$4,IF(B6&lt;$J$5,B6*S4+Y4,IF(B6&gt;=$J$5,IF(B6&lt;$J$6,B6*S5+Y5, IF(B6&gt;=$J$6,IF(B6&lt;$J$7,B6*S6+Y6))))))))</f>
        <v/>
      </c>
      <c r="E6" s="61">
        <f>IF(B6&gt;=$J$7,IF(B6&lt;$J$8,B6*S7+Y7,IF(B6&gt;=$J$8,IF(B6&lt;$J$9,B6*S8+Y8,IF(B6&gt;=$J$9,IF(B6&lt;$J$10,B6*S9+Y9))))))</f>
        <v/>
      </c>
      <c r="F6" s="62">
        <f>IF(B6&gt;=$J$10,IF(B6&lt;$J$11,B6*S10+Y10,IF(B6&gt;=$J$11,IF(B6&lt;$J$12,B6*S11+Y11,IF(B6&gt;=$J$12,IF(B6&lt;$J$13,B6*S12+Y12))))))</f>
        <v/>
      </c>
      <c r="G6" s="148">
        <f>IF(B6&gt;=$J$13,IF(B6&lt;=$J$14,B6*S13+Y13,IF(B6&gt;$J$14,IF(B6&lt;$J$15,"Profile Pressure Too High"))))</f>
        <v/>
      </c>
      <c r="J6" s="1">
        <f>J5+0.05</f>
        <v/>
      </c>
      <c r="K6" s="63" t="n">
        <v>1166.76</v>
      </c>
      <c r="L6" s="1" t="n">
        <v>2718.6</v>
      </c>
      <c r="M6" s="63" t="n">
        <v>2289</v>
      </c>
      <c r="N6" s="1" t="n">
        <v>3931.944</v>
      </c>
      <c r="O6" s="1" t="n">
        <v>12730.5</v>
      </c>
      <c r="Q6" s="1">
        <f>(K7-K6)/(J7-J6)</f>
        <v/>
      </c>
      <c r="R6" s="1">
        <f>(L7-L6)/(J7-J6)</f>
        <v/>
      </c>
      <c r="S6" s="1">
        <f>(M7-M6)/(J7-J6)</f>
        <v/>
      </c>
      <c r="T6" s="1">
        <f>(N7-N6)/(J7-J6)</f>
        <v/>
      </c>
      <c r="U6" s="1">
        <f>(O7-O6)/(J7-J6)</f>
        <v/>
      </c>
      <c r="V6" s="1" t="n"/>
      <c r="W6" s="1">
        <f>K6-Q6*J6</f>
        <v/>
      </c>
      <c r="X6" s="1">
        <f>L6-R6*J6</f>
        <v/>
      </c>
      <c r="Y6" s="1">
        <f>M6-S6*J6</f>
        <v/>
      </c>
      <c r="Z6" s="1">
        <f>N6-T6*J6</f>
        <v/>
      </c>
      <c r="AA6" s="1">
        <f>O6-U6*J6</f>
        <v/>
      </c>
    </row>
    <row r="7">
      <c r="A7" s="3" t="n">
        <v>4</v>
      </c>
      <c r="B7" s="117" t="n">
        <v>0</v>
      </c>
      <c r="C7" s="118">
        <f>IF(B7&gt;=$J$3,IF(B7&lt;$J$7,D7,IF(B7&gt;=$J$7,IF(B7&lt;$J$10,E7,IF(B7&gt;=$J$10,IF(B7&lt;$J$13,F7,IF(B7&gt;=$J$13,IF(B7&lt;$J$15,G7))))))))</f>
        <v/>
      </c>
      <c r="D7" s="60">
        <f>IF(B7=$J$3,"Specify Profile Pressure",IF(B7&lt;$J$4,"Profile Pressure Too Low",IF(B7&gt;=$J$4,IF(B7&lt;$J$5,B7*T4+Z4,IF(B7&gt;=$J$5,IF(B7&lt;$J$6,B7*T5+Z5, IF(B7&gt;=$J$6,IF(B7&lt;$J$7,B7*T6+Z6))))))))</f>
        <v/>
      </c>
      <c r="E7" s="61">
        <f>IF(B7&gt;=$J$7,IF(B7&lt;$J$8,B7*T7+Z7,IF(B7&gt;=$J$8,IF(B7&lt;$J$9,B7*T8+Z8,IF(B7&gt;=$J$9,IF(B7&lt;$J$10,B7*T9+Z9))))))</f>
        <v/>
      </c>
      <c r="F7" s="62">
        <f>IF(B7&gt;=$J$10,IF(B7&lt;$J$11,B7*T10+Z10,IF(B7&gt;=$J$11,IF(B7&lt;$J$12,B7*T11+Z11,IF(B7&gt;=$J$12,IF(B7&lt;$J$13,B7*T12+Z12))))))</f>
        <v/>
      </c>
      <c r="G7" s="148">
        <f>IF(B7&gt;=$J$13,IF(B7&lt;=$J$14,B7*T13+Z13,IF(B7&gt;$J$14,IF(B7&lt;$J$15,"Profile Pressure Too High"))))</f>
        <v/>
      </c>
      <c r="J7" s="1">
        <f>J6+0.05</f>
        <v/>
      </c>
      <c r="K7" s="63" t="n">
        <v>1779.53</v>
      </c>
      <c r="L7" s="63" t="n">
        <v>3000</v>
      </c>
      <c r="M7" s="63" t="n">
        <v>4036.2</v>
      </c>
      <c r="N7" s="1" t="n">
        <v>4444.715999999999</v>
      </c>
      <c r="O7" s="63" t="n">
        <v>15000</v>
      </c>
      <c r="Q7" s="1">
        <f>(K8-K7)/(J8-J7)</f>
        <v/>
      </c>
      <c r="R7" s="1">
        <f>(L8-L7)/(J8-J7)</f>
        <v/>
      </c>
      <c r="S7" s="1">
        <f>(M8-M7)/(J8-J7)</f>
        <v/>
      </c>
      <c r="T7" s="1">
        <f>(N8-N7)/(J8-J7)</f>
        <v/>
      </c>
      <c r="U7" s="1">
        <f>(O8-O7)/(J8-J7)</f>
        <v/>
      </c>
      <c r="V7" s="1" t="n"/>
      <c r="W7" s="1">
        <f>K7-Q7*J7</f>
        <v/>
      </c>
      <c r="X7" s="1">
        <f>L7-R7*J7</f>
        <v/>
      </c>
      <c r="Y7" s="1">
        <f>M7-S7*J7</f>
        <v/>
      </c>
      <c r="Z7" s="1">
        <f>N7-T7*J7</f>
        <v/>
      </c>
      <c r="AA7" s="1">
        <f>O7-U7*J7</f>
        <v/>
      </c>
    </row>
    <row r="8">
      <c r="A8" s="3" t="n">
        <v>5</v>
      </c>
      <c r="B8" s="116" t="n">
        <v>0</v>
      </c>
      <c r="C8" s="118">
        <f>IF(B8&gt;=$J$3,IF(B8&lt;$J$7,D8,IF(B8&gt;=$J$7,IF(B8&lt;$J$10,E8,IF(B8&gt;=$J$10,IF(B8&lt;$J$13,F8,IF(B8&gt;=$J$13,IF(B8&lt;$J$15,G8))))))))</f>
        <v/>
      </c>
      <c r="D8" s="60">
        <f>IF(B8=$J$3,"Specify Profile Pressure",IF(B8&lt;$J$4,"Profile Pressure Too Low",IF(B8&gt;=$J$4,IF(B8&lt;$J$5,B8*U4+AA4,IF(B8&gt;=$J$5,IF(B8&lt;$J$6,B8*U5+AA5, IF(B8&gt;=$J$6,IF(B8&lt;$J$7,B8*U6+AA6))))))))</f>
        <v/>
      </c>
      <c r="E8" s="61">
        <f>IF(B8&gt;=$J$7,IF(B8&lt;$J$8,B8*U7+AA7,IF(B8&gt;=$J$8,IF(B8&lt;$J$9,B8*U8+AA8,IF(B8&gt;=$J$9,IF(B8&lt;$J$10,B8*U9+AA9))))))</f>
        <v/>
      </c>
      <c r="F8" s="62">
        <f>IF(B8&gt;=$J$10,IF(B8&lt;$J$11,B8*U10+AA10,IF(B8&gt;=$J$11,IF(B8&lt;$J$12,B8*U11+AA11,IF(B8&gt;=$J$12,IF(B8&lt;$J$13,B8*U12+AA12))))))</f>
        <v/>
      </c>
      <c r="G8" s="148">
        <f>IF(B8&gt;=$J$13,IF(B8&lt;=$J$14,B8*U13+AA13,IF(B8&gt;$J$14,IF(B8&lt;$J$15,"Profile Pressure Too High"))))</f>
        <v/>
      </c>
      <c r="J8" s="1">
        <f>J7+0.05</f>
        <v/>
      </c>
      <c r="K8" s="63" t="n">
        <v>2036.25</v>
      </c>
      <c r="L8" s="1" t="n">
        <v>3346.5</v>
      </c>
      <c r="M8" s="63" t="n">
        <v>4676.7</v>
      </c>
      <c r="N8" s="1" t="n">
        <v>4795.56</v>
      </c>
      <c r="O8" s="1" t="n">
        <v>17008.5</v>
      </c>
      <c r="Q8" s="1">
        <f>(K9-K8)/(J9-J8)</f>
        <v/>
      </c>
      <c r="R8" s="1">
        <f>(L9-L8)/(J9-J8)</f>
        <v/>
      </c>
      <c r="S8" s="1">
        <f>(M9-M8)/(J9-J8)</f>
        <v/>
      </c>
      <c r="T8" s="1">
        <f>(N9-N8)/(J9-J8)</f>
        <v/>
      </c>
      <c r="U8" s="1">
        <f>(O9-O8)/(J9-J8)</f>
        <v/>
      </c>
      <c r="V8" s="1" t="n"/>
      <c r="W8" s="1">
        <f>K8-Q8*J8</f>
        <v/>
      </c>
      <c r="X8" s="1">
        <f>L8-R8*J8</f>
        <v/>
      </c>
      <c r="Y8" s="1">
        <f>M8-S8*J8</f>
        <v/>
      </c>
      <c r="Z8" s="1">
        <f>N8-T8*J8</f>
        <v/>
      </c>
      <c r="AA8" s="1">
        <f>O8-U8*J8</f>
        <v/>
      </c>
    </row>
    <row r="9">
      <c r="B9" s="1" t="n"/>
      <c r="C9" s="148" t="n"/>
      <c r="D9" s="1" t="n"/>
      <c r="J9" s="1">
        <f>J8+0.05</f>
        <v/>
      </c>
      <c r="K9" s="63" t="n">
        <v>2291.85</v>
      </c>
      <c r="L9" s="63" t="n">
        <v>4000</v>
      </c>
      <c r="M9" s="63" t="n">
        <v>4845</v>
      </c>
      <c r="N9" s="1" t="n">
        <v>6439.751999999999</v>
      </c>
      <c r="O9" s="63" t="n">
        <v>19200</v>
      </c>
      <c r="Q9" s="1">
        <f>(K10-K9)/(J10-J9)</f>
        <v/>
      </c>
      <c r="R9" s="1">
        <f>(L10-L9)/(J10-J9)</f>
        <v/>
      </c>
      <c r="S9" s="1">
        <f>(M10-M9)/(J10-J9)</f>
        <v/>
      </c>
      <c r="T9" s="1">
        <f>(N10-N9)/(J10-J9)</f>
        <v/>
      </c>
      <c r="U9" s="1">
        <f>(O10-O9)/(J10-J9)</f>
        <v/>
      </c>
      <c r="V9" s="1" t="n"/>
      <c r="W9" s="1">
        <f>K9-Q9*J9</f>
        <v/>
      </c>
      <c r="X9" s="1">
        <f>L9-R9*J9</f>
        <v/>
      </c>
      <c r="Y9" s="1">
        <f>M9-S9*J9</f>
        <v/>
      </c>
      <c r="Z9" s="1">
        <f>N9-T9*J9</f>
        <v/>
      </c>
      <c r="AA9" s="1">
        <f>O9-U9*J9</f>
        <v/>
      </c>
    </row>
    <row r="10">
      <c r="B10" s="1" t="n"/>
      <c r="C10" s="148" t="n"/>
      <c r="D10" s="1" t="n"/>
      <c r="J10" s="1">
        <f>J9+0.05</f>
        <v/>
      </c>
      <c r="K10" s="63" t="n">
        <v>2450.196</v>
      </c>
      <c r="L10" s="1" t="n">
        <v>5209.5</v>
      </c>
      <c r="M10" s="63" t="n">
        <v>4979.1</v>
      </c>
      <c r="N10" s="1" t="n">
        <v>6769.835999999999</v>
      </c>
      <c r="O10" s="1" t="n">
        <v>20976</v>
      </c>
      <c r="Q10" s="1">
        <f>(K11-K10)/(J11-J10)</f>
        <v/>
      </c>
      <c r="R10" s="1">
        <f>(L11-L10)/(J11-J10)</f>
        <v/>
      </c>
      <c r="S10" s="1">
        <f>(M11-M10)/(J11-J10)</f>
        <v/>
      </c>
      <c r="T10" s="1">
        <f>(N11-N10)/(J11-J10)</f>
        <v/>
      </c>
      <c r="U10" s="1">
        <f>(O11-O10)/(J11-J10)</f>
        <v/>
      </c>
      <c r="V10" s="1" t="n"/>
      <c r="W10" s="1">
        <f>K10-Q10*J10</f>
        <v/>
      </c>
      <c r="X10" s="1">
        <f>L10-R10*J10</f>
        <v/>
      </c>
      <c r="Y10" s="1">
        <f>M10-S10*J10</f>
        <v/>
      </c>
      <c r="Z10" s="1">
        <f>N10-T10*J10</f>
        <v/>
      </c>
      <c r="AA10" s="1">
        <f>O10-U10*J10</f>
        <v/>
      </c>
    </row>
    <row r="11" ht="12.75" customHeight="1">
      <c r="A11" s="64" t="inlineStr">
        <is>
          <t xml:space="preserve">*NOTE:  Burner Profile Pressure is obtained with Evergreen by measuring the pressure drop between </t>
        </is>
      </c>
      <c r="B11" s="64" t="n"/>
      <c r="C11" s="64" t="n"/>
      <c r="D11" s="1" t="n"/>
      <c r="J11" s="1">
        <f>J10+0.05</f>
        <v/>
      </c>
      <c r="K11" s="63" t="n">
        <v>2655.768</v>
      </c>
      <c r="L11" s="63" t="n">
        <v>5600</v>
      </c>
      <c r="M11" s="63" t="n">
        <v>5159.7</v>
      </c>
      <c r="N11" s="1" t="n">
        <v>6873.636</v>
      </c>
      <c r="O11" s="63" t="n">
        <v>21800</v>
      </c>
      <c r="Q11" s="1">
        <f>(K12-K11)/(J12-J11)</f>
        <v/>
      </c>
      <c r="R11" s="1">
        <f>(L12-L11)/(J12-J11)</f>
        <v/>
      </c>
      <c r="S11" s="1">
        <f>(M12-M11)/(J12-J11)</f>
        <v/>
      </c>
      <c r="T11" s="1">
        <f>(N12-N11)/(J12-J11)</f>
        <v/>
      </c>
      <c r="U11" s="1">
        <f>(O12-O11)/(J12-J11)</f>
        <v/>
      </c>
      <c r="V11" s="1" t="n"/>
      <c r="W11" s="1">
        <f>K11-Q11*J11</f>
        <v/>
      </c>
      <c r="X11" s="1">
        <f>L11-R11*J11</f>
        <v/>
      </c>
      <c r="Y11" s="1">
        <f>M11-S11*J11</f>
        <v/>
      </c>
      <c r="Z11" s="1">
        <f>N11-T11*J11</f>
        <v/>
      </c>
      <c r="AA11" s="1">
        <f>O11-U11*J11</f>
        <v/>
      </c>
    </row>
    <row r="12" ht="13" customHeight="1">
      <c r="A12" s="64" t="inlineStr">
        <is>
          <t xml:space="preserve">             the two Airflow probes located upstream and downstream of the burner assembly. </t>
        </is>
      </c>
      <c r="B12" s="64" t="n"/>
      <c r="C12" s="64" t="n"/>
      <c r="D12" s="1" t="n"/>
      <c r="J12" s="1">
        <f>J11+0.05</f>
        <v/>
      </c>
      <c r="K12" s="63" t="n">
        <v>2797.446</v>
      </c>
      <c r="L12" s="1" t="n">
        <v>5778.75</v>
      </c>
      <c r="M12" s="63" t="n">
        <v>6913.2</v>
      </c>
      <c r="N12" s="1" t="n">
        <v>7500</v>
      </c>
      <c r="O12" s="1" t="n">
        <v>22287</v>
      </c>
      <c r="Q12" s="1">
        <f>(K13-K12)/(J13-J12)</f>
        <v/>
      </c>
      <c r="R12" s="1">
        <f>(L13-L12)/(J13-J12)</f>
        <v/>
      </c>
      <c r="S12" s="1">
        <f>(M13-M12)/(J13-J12)</f>
        <v/>
      </c>
      <c r="T12" s="1">
        <f>(N13-N12)/(J13-J12)</f>
        <v/>
      </c>
      <c r="U12" s="1">
        <f>(O13-O12)/(J13-J12)</f>
        <v/>
      </c>
      <c r="V12" s="1" t="n"/>
      <c r="W12" s="1">
        <f>K12-Q12*J12</f>
        <v/>
      </c>
      <c r="X12" s="1">
        <f>L12-R12*J12</f>
        <v/>
      </c>
      <c r="Y12" s="1">
        <f>M12-S12*J12</f>
        <v/>
      </c>
      <c r="Z12" s="1">
        <f>N12-T12*J12</f>
        <v/>
      </c>
      <c r="AA12" s="1">
        <f>O12-U12*J12</f>
        <v/>
      </c>
    </row>
    <row r="13" ht="13" customHeight="1">
      <c r="A13" s="64" t="n"/>
      <c r="B13" s="65" t="n"/>
      <c r="C13" s="65" t="n"/>
      <c r="D13" s="1" t="n"/>
      <c r="J13" s="1">
        <f>J12+0.05</f>
        <v/>
      </c>
      <c r="K13" s="63" t="n">
        <v>2958.57</v>
      </c>
      <c r="L13" s="63" t="n">
        <v>6300</v>
      </c>
      <c r="M13" s="63" t="n">
        <v>7919.1</v>
      </c>
      <c r="N13" s="1" t="n">
        <v>13562.508</v>
      </c>
      <c r="O13" s="63" t="n">
        <v>23500</v>
      </c>
      <c r="Q13" s="1">
        <f>(K14-K13)/(J14-J13)</f>
        <v/>
      </c>
      <c r="R13" s="1">
        <f>(L14-L13)/(J14-J13)</f>
        <v/>
      </c>
      <c r="S13" s="1">
        <f>(M14-M13)/(J14-J13)</f>
        <v/>
      </c>
      <c r="T13" s="1">
        <f>(N14-N13)/(J14-J13)</f>
        <v/>
      </c>
      <c r="U13" s="1">
        <f>(O14-O13)/(J14-J13)</f>
        <v/>
      </c>
      <c r="V13" s="1" t="n"/>
      <c r="W13" s="1">
        <f>K13-Q13*J13</f>
        <v/>
      </c>
      <c r="X13" s="1">
        <f>L13-R13*J13</f>
        <v/>
      </c>
      <c r="Y13" s="1">
        <f>M13-S13*J13</f>
        <v/>
      </c>
      <c r="Z13" s="1">
        <f>N13-T13*J13</f>
        <v/>
      </c>
      <c r="AA13" s="1">
        <f>O13-U13*J13</f>
        <v/>
      </c>
    </row>
    <row r="14" ht="13" customHeight="1">
      <c r="A14" s="64" t="inlineStr">
        <is>
          <t>**NOTE:  CFM value obtained from predetermined formulas based off of a specified</t>
        </is>
      </c>
      <c r="B14" s="65" t="n"/>
      <c r="C14" s="65" t="n"/>
      <c r="D14" s="1" t="n"/>
      <c r="J14" s="1">
        <f>J13+0.05</f>
        <v/>
      </c>
      <c r="K14" s="63" t="n">
        <v>3139.14</v>
      </c>
      <c r="L14" s="1" t="n">
        <v>6589.5</v>
      </c>
      <c r="M14" s="63" t="n">
        <v>8820</v>
      </c>
      <c r="N14" s="63" t="n">
        <v>16000</v>
      </c>
      <c r="O14" s="1" t="n">
        <v>24598.5</v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3" customHeight="1">
      <c r="A15" s="64" t="inlineStr">
        <is>
          <t xml:space="preserve">              burner profile pressure.</t>
        </is>
      </c>
      <c r="B15" s="65" t="n"/>
      <c r="C15" s="65" t="n"/>
      <c r="D15" s="1" t="n"/>
      <c r="J15" s="1" t="n">
        <v>100000</v>
      </c>
    </row>
    <row r="16">
      <c r="A16" s="62" t="n"/>
      <c r="B16" s="1" t="n"/>
      <c r="C16" s="148" t="n"/>
      <c r="D16" s="1" t="n"/>
    </row>
    <row r="17">
      <c r="B17" s="1" t="n"/>
      <c r="C17" s="148" t="n"/>
      <c r="D17" s="1" t="n"/>
    </row>
    <row r="18">
      <c r="B18" s="1" t="n"/>
      <c r="C18" s="148" t="n"/>
      <c r="D18" s="1" t="n"/>
    </row>
    <row r="19">
      <c r="B19" s="1" t="n"/>
      <c r="C19" s="148" t="n"/>
      <c r="D19" s="1" t="n"/>
      <c r="J19" s="62" t="n"/>
      <c r="K19" s="62" t="n"/>
    </row>
    <row r="20">
      <c r="B20" s="1" t="n"/>
      <c r="C20" s="148" t="n"/>
      <c r="D20" s="1" t="n"/>
      <c r="J20" s="62" t="n"/>
      <c r="K20" s="62" t="n"/>
    </row>
    <row r="21">
      <c r="A21" s="1" t="n"/>
      <c r="B21" s="1" t="n"/>
      <c r="C21" s="1" t="n"/>
      <c r="D21" s="1" t="n"/>
      <c r="E21" s="1" t="n"/>
      <c r="F21" s="1" t="n"/>
      <c r="J21" s="62" t="n"/>
      <c r="K21" s="66" t="n"/>
    </row>
    <row r="22" ht="13" customHeight="1">
      <c r="A22" s="59" t="n"/>
      <c r="B22" s="59" t="n"/>
      <c r="C22" s="59" t="n"/>
      <c r="D22" s="59" t="n"/>
      <c r="E22" s="59" t="n"/>
      <c r="F22" s="59" t="n"/>
    </row>
    <row r="23">
      <c r="A23" s="1" t="n"/>
      <c r="B23" s="63" t="n"/>
      <c r="C23" s="1" t="n"/>
      <c r="D23" s="63" t="n"/>
      <c r="E23" s="1" t="n"/>
      <c r="F23" s="1" t="n"/>
    </row>
    <row r="24">
      <c r="A24" s="1" t="n"/>
      <c r="B24" s="63" t="n"/>
      <c r="C24" s="63" t="n"/>
      <c r="D24" s="63" t="n"/>
      <c r="E24" s="1" t="n"/>
      <c r="F24" s="63" t="n"/>
    </row>
    <row r="25">
      <c r="A25" s="1" t="n"/>
      <c r="B25" s="63" t="n"/>
      <c r="C25" s="1" t="n"/>
      <c r="D25" s="63" t="n"/>
      <c r="E25" s="1" t="n"/>
      <c r="F25" s="1" t="n"/>
    </row>
    <row r="26">
      <c r="A26" s="1" t="n"/>
      <c r="B26" s="63" t="n"/>
      <c r="C26" s="63" t="n"/>
      <c r="D26" s="63" t="n"/>
      <c r="E26" s="1" t="n"/>
      <c r="F26" s="63" t="n"/>
    </row>
    <row r="27">
      <c r="A27" s="1" t="n"/>
      <c r="B27" s="63" t="n"/>
      <c r="C27" s="1" t="n"/>
      <c r="D27" s="63" t="n"/>
      <c r="E27" s="1" t="n"/>
      <c r="F27" s="1" t="n"/>
    </row>
    <row r="28">
      <c r="A28" s="1" t="n"/>
      <c r="B28" s="63" t="n"/>
      <c r="C28" s="63" t="n"/>
      <c r="D28" s="63" t="n"/>
      <c r="E28" s="1" t="n"/>
      <c r="F28" s="63" t="n"/>
    </row>
    <row r="29">
      <c r="A29" s="1" t="n"/>
      <c r="B29" s="63" t="n"/>
      <c r="C29" s="1" t="n"/>
      <c r="D29" s="63" t="n"/>
      <c r="E29" s="1" t="n"/>
      <c r="F29" s="1" t="n"/>
    </row>
    <row r="30">
      <c r="A30" s="1" t="n"/>
      <c r="B30" s="63" t="n"/>
      <c r="C30" s="63" t="n"/>
      <c r="D30" s="63" t="n"/>
      <c r="E30" s="1" t="n"/>
      <c r="F30" s="63" t="n"/>
    </row>
    <row r="31">
      <c r="A31" s="1" t="n"/>
      <c r="B31" s="63" t="n"/>
      <c r="C31" s="1" t="n"/>
      <c r="D31" s="63" t="n"/>
      <c r="E31" s="1" t="n"/>
      <c r="F31" s="1" t="n"/>
    </row>
    <row r="32">
      <c r="A32" s="1" t="n"/>
      <c r="B32" s="63" t="n"/>
      <c r="C32" s="63" t="n"/>
      <c r="D32" s="63" t="n"/>
      <c r="E32" s="1" t="n"/>
      <c r="F32" s="63" t="n"/>
    </row>
    <row r="33">
      <c r="A33" s="1" t="n"/>
      <c r="B33" s="63" t="n"/>
      <c r="C33" s="1" t="n"/>
      <c r="D33" s="63" t="n"/>
      <c r="E33" s="63" t="n"/>
      <c r="F33" s="1" t="n"/>
    </row>
    <row r="34">
      <c r="A34" s="1" t="n"/>
      <c r="B34" s="63" t="n"/>
      <c r="C34" s="63" t="n"/>
      <c r="D34" s="63" t="n"/>
      <c r="E34" s="63" t="n"/>
      <c r="F34" s="63" t="n"/>
    </row>
    <row r="35">
      <c r="B35" s="1" t="n"/>
      <c r="C35" s="148" t="n"/>
      <c r="D35" s="1" t="n"/>
    </row>
    <row r="36">
      <c r="B36" s="1" t="n"/>
      <c r="C36" s="148" t="n"/>
      <c r="D36" s="1" t="n"/>
    </row>
    <row r="37">
      <c r="B37" s="1" t="n"/>
      <c r="C37" s="148" t="n"/>
      <c r="D37" s="1" t="n"/>
    </row>
    <row r="38">
      <c r="B38" s="1" t="n"/>
      <c r="C38" s="148" t="n"/>
      <c r="D38" s="1" t="n"/>
    </row>
    <row r="39">
      <c r="B39" s="1" t="n"/>
      <c r="C39" s="148" t="n"/>
      <c r="D39" s="1" t="n"/>
    </row>
    <row r="40">
      <c r="B40" s="1" t="n"/>
      <c r="C40" s="148" t="n"/>
      <c r="D40" s="1" t="n"/>
    </row>
    <row r="41">
      <c r="B41" s="1" t="n"/>
      <c r="C41" s="148" t="n"/>
      <c r="D41" s="1" t="n"/>
    </row>
    <row r="42">
      <c r="B42" s="1" t="n"/>
      <c r="C42" s="148" t="n"/>
      <c r="D42" s="1" t="n"/>
    </row>
    <row r="43">
      <c r="B43" s="1" t="n"/>
      <c r="C43" s="148" t="n"/>
      <c r="D43" s="1" t="n"/>
    </row>
    <row r="44">
      <c r="B44" s="1" t="n"/>
      <c r="C44" s="148" t="n"/>
      <c r="D44" s="1" t="n"/>
    </row>
    <row r="45">
      <c r="B45" s="1" t="n"/>
      <c r="C45" s="148" t="n"/>
      <c r="D45" s="1" t="n"/>
    </row>
    <row r="46">
      <c r="B46" s="1" t="n"/>
      <c r="C46" s="148" t="n"/>
      <c r="D46" s="1" t="n"/>
    </row>
    <row r="47">
      <c r="B47" s="1" t="n"/>
      <c r="C47" s="148" t="n"/>
      <c r="D47" s="1" t="n"/>
    </row>
    <row r="48">
      <c r="B48" s="1" t="n"/>
      <c r="C48" s="148" t="n"/>
      <c r="D48" s="1" t="n"/>
    </row>
    <row r="49">
      <c r="B49" s="1" t="n"/>
      <c r="C49" s="148" t="n"/>
      <c r="D49" s="1" t="n"/>
    </row>
    <row r="50">
      <c r="B50" s="1" t="n"/>
      <c r="C50" s="148" t="n"/>
      <c r="D50" s="1" t="n"/>
    </row>
    <row r="51">
      <c r="B51" s="1" t="n"/>
      <c r="C51" s="148" t="n"/>
      <c r="D51" s="1" t="n"/>
    </row>
    <row r="52">
      <c r="B52" s="1" t="n"/>
      <c r="C52" s="148" t="n"/>
      <c r="D52" s="1" t="n"/>
    </row>
    <row r="53">
      <c r="B53" s="1" t="n"/>
      <c r="C53" s="148" t="n"/>
      <c r="D53" s="1" t="n"/>
    </row>
    <row r="54">
      <c r="B54" s="1" t="n"/>
      <c r="C54" s="148" t="n"/>
      <c r="D54" s="1" t="n"/>
    </row>
    <row r="55">
      <c r="B55" s="1" t="n"/>
      <c r="C55" s="148" t="n"/>
      <c r="D55" s="1" t="n"/>
    </row>
    <row r="56">
      <c r="B56" s="1" t="n"/>
      <c r="C56" s="148" t="n"/>
      <c r="D56" s="1" t="n"/>
    </row>
    <row r="57">
      <c r="B57" s="1" t="n"/>
      <c r="C57" s="148" t="n"/>
      <c r="D57" s="1" t="n"/>
    </row>
    <row r="58">
      <c r="B58" s="1" t="n"/>
      <c r="C58" s="148" t="n"/>
      <c r="D58" s="1" t="n"/>
    </row>
    <row r="59">
      <c r="B59" s="1" t="n"/>
      <c r="C59" s="148" t="n"/>
      <c r="D59" s="1" t="n"/>
    </row>
    <row r="60">
      <c r="B60" s="1" t="n"/>
      <c r="C60" s="148" t="n"/>
      <c r="D60" s="1" t="n"/>
    </row>
    <row r="61">
      <c r="B61" s="1" t="n"/>
      <c r="C61" s="148" t="n"/>
      <c r="D61" s="1" t="n"/>
    </row>
    <row r="62">
      <c r="B62" s="1" t="n"/>
      <c r="C62" s="148" t="n"/>
      <c r="D62" s="1" t="n"/>
    </row>
    <row r="63">
      <c r="B63" s="1" t="n"/>
      <c r="C63" s="148" t="n"/>
      <c r="D63" s="1" t="n"/>
    </row>
    <row r="64">
      <c r="B64" s="1" t="n"/>
      <c r="C64" s="148" t="n"/>
      <c r="D64" s="1" t="n"/>
    </row>
    <row r="65">
      <c r="B65" s="1" t="n"/>
      <c r="C65" s="148" t="n"/>
      <c r="D65" s="1" t="n"/>
    </row>
    <row r="66">
      <c r="B66" s="1" t="n"/>
      <c r="C66" s="148" t="n"/>
      <c r="D66" s="1" t="n"/>
    </row>
    <row r="67">
      <c r="B67" s="1" t="n"/>
      <c r="C67" s="148" t="n"/>
      <c r="D67" s="1" t="n"/>
    </row>
    <row r="68">
      <c r="B68" s="1" t="n"/>
      <c r="C68" s="148" t="n"/>
      <c r="D68" s="1" t="n"/>
    </row>
    <row r="69">
      <c r="B69" s="1" t="n"/>
      <c r="C69" s="148" t="n"/>
      <c r="D69" s="1" t="n"/>
    </row>
    <row r="70">
      <c r="B70" s="1" t="n"/>
      <c r="C70" s="148" t="n"/>
      <c r="D70" s="1" t="n"/>
    </row>
    <row r="71">
      <c r="B71" s="1" t="n"/>
      <c r="C71" s="148" t="n"/>
      <c r="D71" s="1" t="n"/>
    </row>
    <row r="72">
      <c r="B72" s="1" t="n"/>
      <c r="C72" s="148" t="n"/>
      <c r="D72" s="1" t="n"/>
    </row>
    <row r="73">
      <c r="B73" s="1" t="n"/>
      <c r="C73" s="148" t="n"/>
      <c r="D73" s="1" t="n"/>
    </row>
    <row r="74">
      <c r="B74" s="1" t="n"/>
      <c r="C74" s="148" t="n"/>
      <c r="D74" s="1" t="n"/>
    </row>
    <row r="75">
      <c r="B75" s="1" t="n"/>
      <c r="C75" s="148" t="n"/>
      <c r="D75" s="1" t="n"/>
    </row>
    <row r="76">
      <c r="B76" s="1" t="n"/>
      <c r="C76" s="148" t="n"/>
      <c r="D76" s="1" t="n"/>
    </row>
    <row r="77">
      <c r="B77" s="1" t="n"/>
      <c r="C77" s="148" t="n"/>
      <c r="D77" s="1" t="n"/>
    </row>
    <row r="78">
      <c r="B78" s="1" t="n"/>
      <c r="C78" s="148" t="n"/>
      <c r="D78" s="1" t="n"/>
    </row>
    <row r="79">
      <c r="B79" s="1" t="n"/>
      <c r="C79" s="148" t="n"/>
      <c r="D79" s="1" t="n"/>
    </row>
    <row r="80">
      <c r="B80" s="1" t="n"/>
      <c r="C80" s="148" t="n"/>
      <c r="D80" s="1" t="n"/>
    </row>
    <row r="81">
      <c r="B81" s="1" t="n"/>
      <c r="C81" s="148" t="n"/>
      <c r="D81" s="1" t="n"/>
    </row>
    <row r="82">
      <c r="B82" s="1" t="n"/>
      <c r="C82" s="148" t="n"/>
      <c r="D82" s="1" t="n"/>
    </row>
    <row r="83">
      <c r="B83" s="1" t="n"/>
      <c r="C83" s="148" t="n"/>
      <c r="D83" s="1" t="n"/>
    </row>
    <row r="84">
      <c r="B84" s="1" t="n"/>
      <c r="C84" s="148" t="n"/>
      <c r="D84" s="1" t="n"/>
    </row>
    <row r="85">
      <c r="B85" s="1" t="n"/>
      <c r="C85" s="148" t="n"/>
      <c r="D85" s="1" t="n"/>
    </row>
    <row r="86">
      <c r="B86" s="1" t="n"/>
      <c r="C86" s="148" t="n"/>
      <c r="D86" s="1" t="n"/>
    </row>
    <row r="87">
      <c r="B87" s="1" t="n"/>
      <c r="C87" s="148" t="n"/>
      <c r="D87" s="1" t="n"/>
    </row>
    <row r="88">
      <c r="B88" s="1" t="n"/>
      <c r="C88" s="148" t="n"/>
      <c r="D88" s="1" t="n"/>
    </row>
    <row r="89">
      <c r="B89" s="1" t="n"/>
      <c r="C89" s="148" t="n"/>
      <c r="D89" s="1" t="n"/>
    </row>
    <row r="90">
      <c r="B90" s="1" t="n"/>
      <c r="C90" s="148" t="n"/>
      <c r="D90" s="1" t="n"/>
    </row>
    <row r="91">
      <c r="B91" s="1" t="n"/>
      <c r="C91" s="148" t="n"/>
      <c r="D91" s="1" t="n"/>
    </row>
    <row r="92">
      <c r="B92" s="1" t="n"/>
      <c r="C92" s="148" t="n"/>
      <c r="D92" s="1" t="n"/>
    </row>
    <row r="93">
      <c r="B93" s="1" t="n"/>
      <c r="C93" s="148" t="n"/>
      <c r="D93" s="1" t="n"/>
    </row>
    <row r="94">
      <c r="B94" s="1" t="n"/>
      <c r="C94" s="148" t="n"/>
      <c r="D94" s="1" t="n"/>
    </row>
    <row r="95">
      <c r="B95" s="1" t="n"/>
      <c r="C95" s="148" t="n"/>
      <c r="D95" s="1" t="n"/>
    </row>
    <row r="96">
      <c r="B96" s="1" t="n"/>
      <c r="C96" s="148" t="n"/>
      <c r="D96" s="1" t="n"/>
    </row>
    <row r="97">
      <c r="B97" s="1" t="n"/>
      <c r="C97" s="148" t="n"/>
      <c r="D97" s="1" t="n"/>
    </row>
    <row r="98">
      <c r="B98" s="1" t="n"/>
      <c r="C98" s="148" t="n"/>
      <c r="D98" s="1" t="n"/>
    </row>
    <row r="99">
      <c r="B99" s="1" t="n"/>
      <c r="C99" s="148" t="n"/>
      <c r="D99" s="1" t="n"/>
    </row>
    <row r="100">
      <c r="B100" s="1" t="n"/>
      <c r="C100" s="148" t="n"/>
      <c r="D100" s="1" t="n"/>
    </row>
    <row r="101">
      <c r="B101" s="1" t="n"/>
      <c r="C101" s="148" t="n"/>
      <c r="D101" s="1" t="n"/>
    </row>
    <row r="102">
      <c r="B102" s="1" t="n"/>
      <c r="C102" s="148" t="n"/>
      <c r="D102" s="1" t="n"/>
    </row>
    <row r="103">
      <c r="B103" s="1" t="n"/>
      <c r="C103" s="148" t="n"/>
      <c r="D103" s="1" t="n"/>
    </row>
    <row r="104">
      <c r="B104" s="1" t="n"/>
      <c r="C104" s="148" t="n"/>
      <c r="D104" s="1" t="n"/>
    </row>
    <row r="105">
      <c r="B105" s="1" t="n"/>
      <c r="C105" s="148" t="n"/>
      <c r="D105" s="1" t="n"/>
    </row>
    <row r="106">
      <c r="B106" s="1" t="n"/>
      <c r="C106" s="148" t="n"/>
      <c r="D106" s="1" t="n"/>
    </row>
    <row r="107">
      <c r="B107" s="1" t="n"/>
      <c r="C107" s="148" t="n"/>
      <c r="D107" s="1" t="n"/>
    </row>
    <row r="108">
      <c r="B108" s="1" t="n"/>
      <c r="C108" s="148" t="n"/>
      <c r="D108" s="1" t="n"/>
    </row>
    <row r="109">
      <c r="B109" s="1" t="n"/>
      <c r="C109" s="148" t="n"/>
      <c r="D109" s="1" t="n"/>
    </row>
    <row r="110">
      <c r="B110" s="1" t="n"/>
      <c r="C110" s="148" t="n"/>
      <c r="D110" s="1" t="n"/>
    </row>
    <row r="111">
      <c r="B111" s="1" t="n"/>
      <c r="C111" s="148" t="n"/>
      <c r="D111" s="1" t="n"/>
    </row>
    <row r="112">
      <c r="B112" s="1" t="n"/>
      <c r="C112" s="148" t="n"/>
      <c r="D112" s="1" t="n"/>
    </row>
    <row r="113">
      <c r="B113" s="1" t="n"/>
      <c r="C113" s="148" t="n"/>
      <c r="D113" s="1" t="n"/>
    </row>
    <row r="114">
      <c r="B114" s="1" t="n"/>
      <c r="C114" s="148" t="n"/>
      <c r="D114" s="1" t="n"/>
    </row>
    <row r="115">
      <c r="B115" s="1" t="n"/>
      <c r="C115" s="148" t="n"/>
      <c r="D115" s="1" t="n"/>
    </row>
    <row r="116">
      <c r="B116" s="1" t="n"/>
      <c r="C116" s="148" t="n"/>
      <c r="D116" s="1" t="n"/>
    </row>
    <row r="117">
      <c r="B117" s="1" t="n"/>
      <c r="C117" s="148" t="n"/>
      <c r="D117" s="1" t="n"/>
    </row>
    <row r="118">
      <c r="B118" s="1" t="n"/>
      <c r="C118" s="148" t="n"/>
      <c r="D118" s="1" t="n"/>
    </row>
    <row r="119">
      <c r="B119" s="1" t="n"/>
      <c r="C119" s="148" t="n"/>
      <c r="D119" s="1" t="n"/>
    </row>
    <row r="120">
      <c r="B120" s="1" t="n"/>
      <c r="C120" s="148" t="n"/>
      <c r="D120" s="1" t="n"/>
    </row>
    <row r="121">
      <c r="B121" s="1" t="n"/>
      <c r="C121" s="148" t="n"/>
      <c r="D121" s="1" t="n"/>
    </row>
    <row r="122">
      <c r="B122" s="1" t="n"/>
      <c r="C122" s="148" t="n"/>
      <c r="D122" s="1" t="n"/>
    </row>
    <row r="123">
      <c r="B123" s="1" t="n"/>
      <c r="C123" s="148" t="n"/>
      <c r="D123" s="1" t="n"/>
    </row>
    <row r="124">
      <c r="B124" s="1" t="n"/>
      <c r="C124" s="148" t="n"/>
      <c r="D124" s="1" t="n"/>
    </row>
    <row r="125">
      <c r="B125" s="1" t="n"/>
      <c r="C125" s="148" t="n"/>
      <c r="D125" s="1" t="n"/>
    </row>
    <row r="126">
      <c r="B126" s="1" t="n"/>
      <c r="C126" s="148" t="n"/>
      <c r="D126" s="1" t="n"/>
    </row>
    <row r="127">
      <c r="B127" s="1" t="n"/>
      <c r="C127" s="148" t="n"/>
      <c r="D127" s="1" t="n"/>
    </row>
    <row r="128">
      <c r="B128" s="1" t="n"/>
      <c r="C128" s="148" t="n"/>
      <c r="D128" s="1" t="n"/>
    </row>
    <row r="129">
      <c r="B129" s="1" t="n"/>
      <c r="C129" s="148" t="n"/>
      <c r="D129" s="1" t="n"/>
    </row>
    <row r="130">
      <c r="B130" s="1" t="n"/>
      <c r="C130" s="148" t="n"/>
      <c r="D130" s="1" t="n"/>
    </row>
    <row r="131">
      <c r="B131" s="1" t="n"/>
      <c r="C131" s="148" t="n"/>
      <c r="D131" s="1" t="n"/>
    </row>
    <row r="132">
      <c r="B132" s="1" t="n"/>
      <c r="C132" s="148" t="n"/>
      <c r="D132" s="1" t="n"/>
    </row>
    <row r="133">
      <c r="B133" s="1" t="n"/>
      <c r="C133" s="148" t="n"/>
      <c r="D133" s="1" t="n"/>
    </row>
    <row r="134">
      <c r="B134" s="1" t="n"/>
      <c r="C134" s="148" t="n"/>
      <c r="D134" s="1" t="n"/>
    </row>
    <row r="135">
      <c r="B135" s="1" t="n"/>
      <c r="C135" s="148" t="n"/>
      <c r="D135" s="1" t="n"/>
    </row>
    <row r="136">
      <c r="B136" s="1" t="n"/>
      <c r="C136" s="148" t="n"/>
      <c r="D136" s="1" t="n"/>
    </row>
    <row r="137">
      <c r="B137" s="1" t="n"/>
      <c r="C137" s="148" t="n"/>
      <c r="D137" s="1" t="n"/>
    </row>
    <row r="138">
      <c r="B138" s="1" t="n"/>
      <c r="C138" s="148" t="n"/>
      <c r="D138" s="1" t="n"/>
    </row>
    <row r="139">
      <c r="B139" s="1" t="n"/>
      <c r="C139" s="148" t="n"/>
      <c r="D139" s="1" t="n"/>
    </row>
    <row r="140">
      <c r="B140" s="1" t="n"/>
      <c r="C140" s="148" t="n"/>
      <c r="D140" s="1" t="n"/>
    </row>
    <row r="141">
      <c r="B141" s="1" t="n"/>
      <c r="C141" s="148" t="n"/>
      <c r="D141" s="1" t="n"/>
    </row>
    <row r="142">
      <c r="B142" s="1" t="n"/>
      <c r="C142" s="148" t="n"/>
      <c r="D142" s="1" t="n"/>
    </row>
    <row r="143">
      <c r="B143" s="1" t="n"/>
      <c r="C143" s="148" t="n"/>
      <c r="D143" s="1" t="n"/>
    </row>
    <row r="144">
      <c r="B144" s="1" t="n"/>
      <c r="C144" s="148" t="n"/>
      <c r="D144" s="1" t="n"/>
    </row>
    <row r="145">
      <c r="B145" s="1" t="n"/>
      <c r="C145" s="148" t="n"/>
      <c r="D145" s="1" t="n"/>
    </row>
    <row r="146">
      <c r="B146" s="1" t="n"/>
      <c r="C146" s="148" t="n"/>
      <c r="D146" s="1" t="n"/>
    </row>
    <row r="147">
      <c r="B147" s="1" t="n"/>
      <c r="C147" s="148" t="n"/>
      <c r="D147" s="1" t="n"/>
    </row>
    <row r="148">
      <c r="B148" s="1" t="n"/>
      <c r="C148" s="148" t="n"/>
      <c r="D148" s="1" t="n"/>
    </row>
    <row r="149">
      <c r="B149" s="1" t="n"/>
      <c r="C149" s="148" t="n"/>
      <c r="D149" s="1" t="n"/>
    </row>
    <row r="150">
      <c r="B150" s="1" t="n"/>
      <c r="C150" s="148" t="n"/>
      <c r="D150" s="1" t="n"/>
    </row>
    <row r="151">
      <c r="B151" s="1" t="n"/>
      <c r="C151" s="148" t="n"/>
      <c r="D151" s="1" t="n"/>
    </row>
    <row r="152">
      <c r="B152" s="1" t="n"/>
      <c r="C152" s="148" t="n"/>
      <c r="D152" s="1" t="n"/>
    </row>
    <row r="153">
      <c r="B153" s="1" t="n"/>
      <c r="C153" s="148" t="n"/>
      <c r="D153" s="1" t="n"/>
    </row>
    <row r="154">
      <c r="B154" s="1" t="n"/>
      <c r="C154" s="148" t="n"/>
      <c r="D154" s="1" t="n"/>
    </row>
    <row r="155">
      <c r="B155" s="1" t="n"/>
      <c r="C155" s="148" t="n"/>
      <c r="D155" s="1" t="n"/>
    </row>
    <row r="156">
      <c r="B156" s="1" t="n"/>
      <c r="C156" s="148" t="n"/>
      <c r="D156" s="1" t="n"/>
    </row>
    <row r="157">
      <c r="B157" s="1" t="n"/>
      <c r="C157" s="148" t="n"/>
      <c r="D157" s="1" t="n"/>
    </row>
    <row r="158">
      <c r="B158" s="1" t="n"/>
      <c r="C158" s="148" t="n"/>
      <c r="D158" s="1" t="n"/>
    </row>
    <row r="159">
      <c r="B159" s="1" t="n"/>
      <c r="C159" s="148" t="n"/>
      <c r="D159" s="1" t="n"/>
    </row>
    <row r="160">
      <c r="B160" s="1" t="n"/>
      <c r="C160" s="148" t="n"/>
      <c r="D160" s="1" t="n"/>
    </row>
    <row r="161">
      <c r="B161" s="1" t="n"/>
      <c r="C161" s="148" t="n"/>
      <c r="D161" s="1" t="n"/>
    </row>
    <row r="162">
      <c r="B162" s="1" t="n"/>
      <c r="C162" s="148" t="n"/>
      <c r="D162" s="1" t="n"/>
    </row>
    <row r="163">
      <c r="B163" s="1" t="n"/>
      <c r="C163" s="148" t="n"/>
      <c r="D163" s="1" t="n"/>
    </row>
    <row r="164">
      <c r="B164" s="1" t="n"/>
      <c r="C164" s="148" t="n"/>
      <c r="D164" s="1" t="n"/>
    </row>
    <row r="165">
      <c r="B165" s="1" t="n"/>
      <c r="C165" s="148" t="n"/>
      <c r="D165" s="1" t="n"/>
    </row>
    <row r="166">
      <c r="B166" s="1" t="n"/>
      <c r="C166" s="148" t="n"/>
      <c r="D166" s="1" t="n"/>
    </row>
    <row r="167">
      <c r="B167" s="1" t="n"/>
      <c r="C167" s="148" t="n"/>
      <c r="D167" s="1" t="n"/>
    </row>
    <row r="168">
      <c r="B168" s="1" t="n"/>
      <c r="C168" s="148" t="n"/>
      <c r="D168" s="1" t="n"/>
    </row>
    <row r="169">
      <c r="B169" s="1" t="n"/>
      <c r="C169" s="148" t="n"/>
      <c r="D169" s="1" t="n"/>
    </row>
    <row r="170">
      <c r="B170" s="1" t="n"/>
      <c r="C170" s="148" t="n"/>
      <c r="D170" s="1" t="n"/>
    </row>
    <row r="171">
      <c r="B171" s="1" t="n"/>
      <c r="C171" s="148" t="n"/>
      <c r="D171" s="1" t="n"/>
    </row>
    <row r="172">
      <c r="B172" s="1" t="n"/>
      <c r="C172" s="148" t="n"/>
      <c r="D172" s="1" t="n"/>
    </row>
    <row r="173">
      <c r="B173" s="1" t="n"/>
      <c r="C173" s="148" t="n"/>
      <c r="D173" s="1" t="n"/>
    </row>
    <row r="174">
      <c r="B174" s="1" t="n"/>
      <c r="C174" s="148" t="n"/>
      <c r="D174" s="1" t="n"/>
    </row>
    <row r="175">
      <c r="B175" s="1" t="n"/>
      <c r="C175" s="148" t="n"/>
      <c r="D175" s="1" t="n"/>
    </row>
    <row r="176">
      <c r="B176" s="1" t="n"/>
      <c r="C176" s="148" t="n"/>
      <c r="D176" s="1" t="n"/>
    </row>
    <row r="177">
      <c r="B177" s="1" t="n"/>
      <c r="C177" s="148" t="n"/>
      <c r="D177" s="1" t="n"/>
    </row>
    <row r="178">
      <c r="B178" s="1" t="n"/>
      <c r="C178" s="148" t="n"/>
      <c r="D178" s="1" t="n"/>
    </row>
    <row r="179">
      <c r="B179" s="1" t="n"/>
      <c r="C179" s="148" t="n"/>
      <c r="D179" s="1" t="n"/>
    </row>
    <row r="180">
      <c r="B180" s="1" t="n"/>
      <c r="C180" s="148" t="n"/>
      <c r="D180" s="1" t="n"/>
    </row>
    <row r="181">
      <c r="B181" s="1" t="n"/>
      <c r="C181" s="148" t="n"/>
      <c r="D181" s="1" t="n"/>
    </row>
    <row r="182">
      <c r="B182" s="1" t="n"/>
      <c r="C182" s="148" t="n"/>
      <c r="D182" s="1" t="n"/>
    </row>
    <row r="183">
      <c r="B183" s="1" t="n"/>
      <c r="C183" s="148" t="n"/>
      <c r="D183" s="1" t="n"/>
    </row>
    <row r="184">
      <c r="B184" s="1" t="n"/>
      <c r="C184" s="148" t="n"/>
      <c r="D184" s="1" t="n"/>
    </row>
    <row r="185">
      <c r="B185" s="1" t="n"/>
      <c r="C185" s="148" t="n"/>
      <c r="D185" s="1" t="n"/>
    </row>
    <row r="186">
      <c r="B186" s="1" t="n"/>
      <c r="C186" s="148" t="n"/>
      <c r="D186" s="1" t="n"/>
    </row>
    <row r="187">
      <c r="B187" s="1" t="n"/>
      <c r="C187" s="148" t="n"/>
      <c r="D187" s="1" t="n"/>
    </row>
    <row r="188">
      <c r="B188" s="1" t="n"/>
      <c r="C188" s="148" t="n"/>
      <c r="D188" s="1" t="n"/>
    </row>
    <row r="189">
      <c r="B189" s="1" t="n"/>
      <c r="C189" s="148" t="n"/>
      <c r="D189" s="1" t="n"/>
    </row>
    <row r="190">
      <c r="B190" s="1" t="n"/>
      <c r="C190" s="148" t="n"/>
      <c r="D190" s="1" t="n"/>
    </row>
    <row r="191">
      <c r="B191" s="1" t="n"/>
      <c r="C191" s="148" t="n"/>
      <c r="D191" s="1" t="n"/>
    </row>
    <row r="192">
      <c r="B192" s="1" t="n"/>
      <c r="C192" s="148" t="n"/>
      <c r="D192" s="1" t="n"/>
    </row>
    <row r="193">
      <c r="B193" s="1" t="n"/>
      <c r="C193" s="148" t="n"/>
      <c r="D193" s="1" t="n"/>
    </row>
    <row r="194">
      <c r="B194" s="1" t="n"/>
      <c r="C194" s="148" t="n"/>
      <c r="D194" s="1" t="n"/>
    </row>
    <row r="195">
      <c r="B195" s="1" t="n"/>
      <c r="C195" s="148" t="n"/>
      <c r="D195" s="1" t="n"/>
    </row>
    <row r="196">
      <c r="B196" s="1" t="n"/>
      <c r="C196" s="148" t="n"/>
      <c r="D196" s="1" t="n"/>
    </row>
    <row r="197">
      <c r="B197" s="1" t="n"/>
      <c r="C197" s="148" t="n"/>
      <c r="D197" s="1" t="n"/>
    </row>
    <row r="198">
      <c r="B198" s="1" t="n"/>
      <c r="C198" s="148" t="n"/>
      <c r="D198" s="1" t="n"/>
    </row>
    <row r="199">
      <c r="B199" s="1" t="n"/>
      <c r="C199" s="148" t="n"/>
      <c r="D199" s="1" t="n"/>
    </row>
    <row r="200">
      <c r="B200" s="1" t="n"/>
      <c r="C200" s="148" t="n"/>
      <c r="D200" s="1" t="n"/>
    </row>
    <row r="201">
      <c r="B201" s="1" t="n"/>
      <c r="C201" s="148" t="n"/>
      <c r="D201" s="1" t="n"/>
    </row>
    <row r="202">
      <c r="B202" s="1" t="n"/>
      <c r="C202" s="148" t="n"/>
      <c r="D202" s="1" t="n"/>
    </row>
    <row r="203">
      <c r="B203" s="1" t="n"/>
      <c r="C203" s="148" t="n"/>
      <c r="D203" s="1" t="n"/>
    </row>
    <row r="204">
      <c r="B204" s="1" t="n"/>
      <c r="C204" s="148" t="n"/>
      <c r="D204" s="1" t="n"/>
    </row>
    <row r="205">
      <c r="B205" s="1" t="n"/>
      <c r="C205" s="148" t="n"/>
      <c r="D205" s="1" t="n"/>
    </row>
    <row r="206">
      <c r="B206" s="1" t="n"/>
      <c r="C206" s="148" t="n"/>
      <c r="D206" s="1" t="n"/>
    </row>
    <row r="207">
      <c r="B207" s="1" t="n"/>
      <c r="C207" s="148" t="n"/>
      <c r="D207" s="1" t="n"/>
    </row>
    <row r="208">
      <c r="B208" s="1" t="n"/>
      <c r="C208" s="148" t="n"/>
      <c r="D208" s="1" t="n"/>
    </row>
    <row r="209">
      <c r="B209" s="1" t="n"/>
      <c r="C209" s="148" t="n"/>
      <c r="D209" s="1" t="n"/>
    </row>
    <row r="210">
      <c r="B210" s="1" t="n"/>
      <c r="C210" s="148" t="n"/>
      <c r="D210" s="1" t="n"/>
    </row>
    <row r="211">
      <c r="B211" s="1" t="n"/>
      <c r="C211" s="148" t="n"/>
      <c r="D211" s="1" t="n"/>
    </row>
    <row r="212">
      <c r="B212" s="1" t="n"/>
      <c r="C212" s="148" t="n"/>
      <c r="D212" s="1" t="n"/>
    </row>
    <row r="213">
      <c r="B213" s="1" t="n"/>
      <c r="C213" s="148" t="n"/>
      <c r="D213" s="1" t="n"/>
    </row>
    <row r="214">
      <c r="B214" s="1" t="n"/>
      <c r="C214" s="148" t="n"/>
      <c r="D214" s="1" t="n"/>
    </row>
    <row r="215">
      <c r="B215" s="1" t="n"/>
      <c r="C215" s="148" t="n"/>
      <c r="D215" s="1" t="n"/>
    </row>
    <row r="216">
      <c r="B216" s="1" t="n"/>
      <c r="C216" s="148" t="n"/>
      <c r="D216" s="1" t="n"/>
    </row>
    <row r="217">
      <c r="B217" s="1" t="n"/>
      <c r="C217" s="148" t="n"/>
      <c r="D217" s="1" t="n"/>
    </row>
    <row r="218">
      <c r="B218" s="1" t="n"/>
      <c r="C218" s="148" t="n"/>
      <c r="D218" s="1" t="n"/>
    </row>
    <row r="219">
      <c r="B219" s="1" t="n"/>
      <c r="C219" s="148" t="n"/>
      <c r="D219" s="1" t="n"/>
    </row>
    <row r="220">
      <c r="B220" s="1" t="n"/>
      <c r="C220" s="148" t="n"/>
      <c r="D220" s="1" t="n"/>
    </row>
    <row r="221">
      <c r="B221" s="1" t="n"/>
      <c r="C221" s="148" t="n"/>
      <c r="D221" s="1" t="n"/>
    </row>
    <row r="222">
      <c r="B222" s="1" t="n"/>
      <c r="C222" s="148" t="n"/>
      <c r="D222" s="1" t="n"/>
    </row>
    <row r="223">
      <c r="B223" s="1" t="n"/>
      <c r="C223" s="148" t="n"/>
      <c r="D223" s="1" t="n"/>
    </row>
    <row r="224">
      <c r="B224" s="1" t="n"/>
      <c r="C224" s="148" t="n"/>
      <c r="D224" s="1" t="n"/>
    </row>
    <row r="225">
      <c r="B225" s="1" t="n"/>
      <c r="C225" s="148" t="n"/>
      <c r="D225" s="1" t="n"/>
    </row>
    <row r="226">
      <c r="B226" s="1" t="n"/>
      <c r="C226" s="148" t="n"/>
      <c r="D226" s="1" t="n"/>
    </row>
    <row r="227">
      <c r="B227" s="1" t="n"/>
      <c r="C227" s="148" t="n"/>
      <c r="D227" s="1" t="n"/>
    </row>
    <row r="228">
      <c r="B228" s="1" t="n"/>
      <c r="C228" s="148" t="n"/>
      <c r="D228" s="1" t="n"/>
    </row>
    <row r="229">
      <c r="B229" s="1" t="n"/>
      <c r="C229" s="148" t="n"/>
      <c r="D229" s="1" t="n"/>
    </row>
    <row r="230">
      <c r="B230" s="1" t="n"/>
      <c r="C230" s="148" t="n"/>
      <c r="D230" s="1" t="n"/>
    </row>
    <row r="231">
      <c r="B231" s="1" t="n"/>
      <c r="C231" s="148" t="n"/>
      <c r="D231" s="1" t="n"/>
    </row>
    <row r="232">
      <c r="B232" s="1" t="n"/>
      <c r="C232" s="148" t="n"/>
      <c r="D232" s="1" t="n"/>
    </row>
  </sheetData>
  <mergeCells count="3">
    <mergeCell ref="A1:C1"/>
    <mergeCell ref="Q1:U1"/>
    <mergeCell ref="W1:AA1"/>
  </mergeCells>
  <pageMargins left="0.7" right="0.7" top="0.75" bottom="0.75" header="0.3" footer="0.3"/>
  <pageSetup orientation="portrait" verticalDpi="0"/>
</worksheet>
</file>

<file path=xl/worksheets/sheet8.xml><?xml version="1.0" encoding="utf-8"?>
<worksheet xmlns="http://schemas.openxmlformats.org/spreadsheetml/2006/main">
  <sheetPr codeName="Sheet7">
    <outlinePr summaryBelow="1" summaryRight="1"/>
    <pageSetUpPr/>
  </sheetPr>
  <dimension ref="A1:AI10"/>
  <sheetViews>
    <sheetView workbookViewId="0">
      <selection activeCell="E16" sqref="E16"/>
    </sheetView>
  </sheetViews>
  <sheetFormatPr baseColWidth="8" defaultRowHeight="12.5"/>
  <cols>
    <col width="25.81640625" bestFit="1" customWidth="1" min="1" max="1"/>
    <col width="4.7265625" customWidth="1" min="2" max="2"/>
    <col width="3.6328125" customWidth="1" min="3" max="3"/>
  </cols>
  <sheetData>
    <row r="1" ht="17.5" customHeight="1">
      <c r="A1" s="125" t="inlineStr">
        <is>
          <t>Building Pressures</t>
        </is>
      </c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  <c r="AG1" s="125" t="n"/>
      <c r="AH1" s="125" t="n"/>
      <c r="AI1" s="125" t="n"/>
    </row>
    <row r="2" ht="13" customHeight="1">
      <c r="A2" s="151" t="inlineStr">
        <is>
          <t>Job Number =</t>
        </is>
      </c>
      <c r="K2" t="inlineStr">
        <is>
          <t>rev. 0</t>
        </is>
      </c>
    </row>
    <row r="3" ht="13" customHeight="1">
      <c r="A3" s="151" t="inlineStr">
        <is>
          <t>Job Name =</t>
        </is>
      </c>
    </row>
    <row r="4">
      <c r="I4" s="1" t="n"/>
    </row>
    <row r="6" ht="13" customHeight="1">
      <c r="A6" s="151" t="inlineStr">
        <is>
          <t>Kitchen Pressure:</t>
        </is>
      </c>
      <c r="B6" s="152" t="n"/>
      <c r="D6" t="inlineStr">
        <is>
          <t>" W.C.</t>
        </is>
      </c>
    </row>
    <row r="7" ht="13" customHeight="1">
      <c r="A7" s="151" t="inlineStr">
        <is>
          <t>Dining Room Pressure:</t>
        </is>
      </c>
      <c r="B7" s="150" t="n"/>
      <c r="D7" t="inlineStr">
        <is>
          <t>" W.C.</t>
        </is>
      </c>
    </row>
    <row r="10" ht="13" customHeight="1">
      <c r="A10" s="151" t="inlineStr">
        <is>
          <t>Difference(Kitchen-Dining):</t>
        </is>
      </c>
      <c r="B10" s="149">
        <f>B6-B7</f>
        <v/>
      </c>
      <c r="D10" t="inlineStr">
        <is>
          <t>" W.C.</t>
        </is>
      </c>
    </row>
  </sheetData>
  <mergeCells count="6">
    <mergeCell ref="B6:C6"/>
    <mergeCell ref="B7:C7"/>
    <mergeCell ref="B10:C10"/>
    <mergeCell ref="A3:C3"/>
    <mergeCell ref="A1:H1"/>
    <mergeCell ref="A2:C2"/>
  </mergeCell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William Griffin</dc:creator>
  <dcterms:created xmlns:dcterms="http://purl.org/dc/terms/" xmlns:xsi="http://www.w3.org/2001/XMLSchema-instance" xsi:type="dcterms:W3CDTF">2002-08-26T19:05:41Z</dcterms:created>
  <dcterms:modified xmlns:dcterms="http://purl.org/dc/terms/" xmlns:xsi="http://www.w3.org/2001/XMLSchema-instance" xsi:type="dcterms:W3CDTF">2026-09-09T17:00:40Z</dcterms:modified>
  <cp:lastModifiedBy>Eddie Cerrato</cp:lastModifiedBy>
  <cp:lastPrinted>2004-02-20T00:09:08Z</cp:lastPrinted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0x010100C6BED7101CF7014B8B0A15DEB0471FB0</vt:lpwstr>
  </property>
  <property name="ComplianceAssetId" fmtid="{D5CDD505-2E9C-101B-9397-08002B2CF9AE}" pid="4">
    <vt:lpwstr xmlns:vt="http://schemas.openxmlformats.org/officeDocument/2006/docPropsVTypes"/>
  </property>
  <property name="_ExtendedDescription" fmtid="{D5CDD505-2E9C-101B-9397-08002B2CF9AE}" pid="5">
    <vt:lpwstr xmlns:vt="http://schemas.openxmlformats.org/officeDocument/2006/docPropsVTypes"/>
  </property>
  <property name="TriggerFlowInfo" fmtid="{D5CDD505-2E9C-101B-9397-08002B2CF9AE}" pid="6">
    <vt:lpwstr xmlns:vt="http://schemas.openxmlformats.org/officeDocument/2006/docPropsVTypes"/>
  </property>
</Properties>
</file>